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defaultThemeVersion="124226"/>
  <mc:AlternateContent xmlns:mc="http://schemas.openxmlformats.org/markup-compatibility/2006">
    <mc:Choice Requires="x15">
      <x15ac:absPath xmlns:x15ac="http://schemas.microsoft.com/office/spreadsheetml/2010/11/ac" url="C:\Users\Ryan Coffee\PrepMaster Docs\2026 Shared Menu\Apps\"/>
    </mc:Choice>
  </mc:AlternateContent>
  <xr:revisionPtr revIDLastSave="0" documentId="13_ncr:1_{F810ACED-DA20-4B5C-ADAD-633C18BDBE89}" xr6:coauthVersionLast="47" xr6:coauthVersionMax="47" xr10:uidLastSave="{00000000-0000-0000-0000-000000000000}"/>
  <bookViews>
    <workbookView xWindow="-120" yWindow="-120" windowWidth="29040" windowHeight="15720" activeTab="1" xr2:uid="{00000000-000D-0000-FFFF-FFFF00000000}"/>
  </bookViews>
  <sheets>
    <sheet name="BBQ Meatballs" sheetId="7" r:id="rId1"/>
    <sheet name="Meatballs (2)" sheetId="9" r:id="rId2"/>
    <sheet name="BBQ Sauce (2)" sheetId="10" r:id="rId3"/>
    <sheet name="Apple Marmalade (2)" sheetId="11" r:id="rId4"/>
  </sheets>
  <externalReferences>
    <externalReference r:id="rId5"/>
  </externalReferences>
  <definedNames>
    <definedName name="_xlnm.Print_Area" localSheetId="0">'BBQ Meatballs'!$A$1:$E$58</definedName>
    <definedName name="times">'[1]Recipe Development'!$O$23:$O$24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2" i="11" l="1"/>
  <c r="E54" i="11" s="1"/>
  <c r="E56" i="11" s="1"/>
  <c r="E58" i="11" s="1"/>
  <c r="E52" i="10"/>
  <c r="E54" i="10" s="1"/>
  <c r="E56" i="10" s="1"/>
  <c r="E58" i="10" s="1"/>
  <c r="E52" i="9"/>
  <c r="E54" i="9" s="1"/>
  <c r="E56" i="9" s="1"/>
  <c r="E58" i="9" s="1"/>
  <c r="E52" i="7" l="1"/>
  <c r="E54" i="7" s="1"/>
  <c r="E56" i="7" s="1"/>
  <c r="E58" i="7" s="1"/>
</calcChain>
</file>

<file path=xl/sharedStrings.xml><?xml version="1.0" encoding="utf-8"?>
<sst xmlns="http://schemas.openxmlformats.org/spreadsheetml/2006/main" count="208" uniqueCount="81">
  <si>
    <t>BBQ Meatballs</t>
  </si>
  <si>
    <t>Ingredients</t>
  </si>
  <si>
    <t>Quantity</t>
  </si>
  <si>
    <t>Measure</t>
  </si>
  <si>
    <t>Unit Cost</t>
  </si>
  <si>
    <t>Total Cost</t>
  </si>
  <si>
    <t>Meatballs (See Recipe)</t>
  </si>
  <si>
    <t>each</t>
  </si>
  <si>
    <t>House BBQ Sauce (See Recipe)</t>
  </si>
  <si>
    <t>oz</t>
  </si>
  <si>
    <t>Assembly:</t>
  </si>
  <si>
    <t>Yield Amount:</t>
  </si>
  <si>
    <t>1. Toss in choice of sauce.
2. Plate.</t>
  </si>
  <si>
    <t>Yield Measure:</t>
  </si>
  <si>
    <t>serving</t>
  </si>
  <si>
    <t>Shelf Life (in days):</t>
  </si>
  <si>
    <t xml:space="preserve">7 days </t>
  </si>
  <si>
    <t>Tools &amp; Supplies:</t>
  </si>
  <si>
    <t>Cutting Board</t>
  </si>
  <si>
    <t>Fryer</t>
  </si>
  <si>
    <t>Dinner plate</t>
  </si>
  <si>
    <t>Photo:</t>
  </si>
  <si>
    <t>Knife</t>
  </si>
  <si>
    <t>Vehicle:</t>
  </si>
  <si>
    <t>Long plate</t>
  </si>
  <si>
    <t>Food Safety Notes:</t>
  </si>
  <si>
    <t>Recipe Cost</t>
  </si>
  <si>
    <t>* Wash hands before food preparation and when changing tasks.</t>
  </si>
  <si>
    <t>Yield</t>
  </si>
  <si>
    <t>* Wear gloves or use suitable utensils when handling ready to eat foods.</t>
  </si>
  <si>
    <t>Portion Cost</t>
  </si>
  <si>
    <t>* Hold cold foods at 40°F or less.</t>
  </si>
  <si>
    <t>Q-Factor</t>
  </si>
  <si>
    <t>* Hold hot foods at 140°F or more.</t>
  </si>
  <si>
    <t>* Record temperatures of potentially hazardous foods at least three times daily.</t>
  </si>
  <si>
    <t>Menu Price</t>
  </si>
  <si>
    <t>* Rinse all produce and immerse in a produce wash in a sanitized prep sink.</t>
  </si>
  <si>
    <t>Food Cost %</t>
  </si>
  <si>
    <t>GR. PORK</t>
  </si>
  <si>
    <t>lbs</t>
  </si>
  <si>
    <t>GR. BEEF</t>
  </si>
  <si>
    <t>Bread CRUMBS</t>
  </si>
  <si>
    <t>EGGS</t>
  </si>
  <si>
    <t>PARSLEY</t>
  </si>
  <si>
    <t>C</t>
  </si>
  <si>
    <t>OREGANO</t>
  </si>
  <si>
    <t>BASIL</t>
  </si>
  <si>
    <t>MASCARPONE</t>
  </si>
  <si>
    <t>GREEK YOGURT</t>
  </si>
  <si>
    <t>1. Combine ground pork, ground beef, bread crumbs, and eggs in a larger mixer bowl.
2. Add finely chopped parsley, oregano, and basil.
3. Turn mixer on slow setting and mix until combined.
4. Mix in the mascarpone and Greek yogurt until the mixture is uniform.
5. Shape the mixture into balls of your desired size.
6. Sear the meatballs in a pan or bake in the oven until browned and cooked through.</t>
  </si>
  <si>
    <t>BBQ Sauce</t>
  </si>
  <si>
    <t>Marmalade</t>
  </si>
  <si>
    <t>Cups</t>
  </si>
  <si>
    <t>Ketchup</t>
  </si>
  <si>
    <t>Apple Cider Vinegar</t>
  </si>
  <si>
    <t>Whiskey</t>
  </si>
  <si>
    <t>Brown Sugar</t>
  </si>
  <si>
    <t>Molasses</t>
  </si>
  <si>
    <t>Worcestershire</t>
  </si>
  <si>
    <t>Garlic Powder</t>
  </si>
  <si>
    <t>T</t>
  </si>
  <si>
    <t>Onion Powder</t>
  </si>
  <si>
    <t>Cayenne</t>
  </si>
  <si>
    <t>Mustard Powder</t>
  </si>
  <si>
    <t xml:space="preserve">S &amp; P </t>
  </si>
  <si>
    <t>tt</t>
  </si>
  <si>
    <t>1.Combine marmalade, ketchup, apple cider vinegar, whiskey, brown sugar, molasses, and Worcestershire sauce in a large pot.
2. Stir in garlic powder, onion powder, cayenne, mustard powder, salt, and pepper.
3. Simmer over medium-low heat for 15–20 minutes, stirring occasionally, until the sauce thickens and the flavors meld.
4. Remove from heat and let cool completely before storing or using.</t>
  </si>
  <si>
    <t>Gallons</t>
  </si>
  <si>
    <t>Apple Marmalade</t>
  </si>
  <si>
    <t>Apples, Peeled and cored</t>
  </si>
  <si>
    <t>Sugar</t>
  </si>
  <si>
    <t>Lemon, Zest and Juice</t>
  </si>
  <si>
    <t>Each</t>
  </si>
  <si>
    <t>Cinnamon</t>
  </si>
  <si>
    <t>Allspice</t>
  </si>
  <si>
    <t>Nutmeg</t>
  </si>
  <si>
    <t>Salt</t>
  </si>
  <si>
    <t>1. Peel, core, and small-dice apples.
2. Combine apples, sugar, brown sugar, apple cider vinegar, lemon zest/juice, cinnamon, allspice, nutmeg, and salt in a pot.
3. Simmer over medium-low heat until apples are soft and liquid reduces to a thick, jam-like consistency.
4. Remove from heat and let cool. Label and date</t>
  </si>
  <si>
    <t>MENU ITEM:</t>
  </si>
  <si>
    <t>RECIPE:</t>
  </si>
  <si>
    <t>BBQ Meatballs Recipe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</si>
</sst>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0.0%"/>
  </numFmts>
  <fonts count="12" x14ac:knownFonts="1">
    <font>
      <sz val="12"/>
      <name val="Arial"/>
      <family val="2"/>
    </font>
    <font>
      <b/>
      <sz val="24"/>
      <color indexed="8"/>
      <name val="Arial"/>
      <family val="2"/>
    </font>
    <font>
      <b/>
      <sz val="24"/>
      <name val="Arial"/>
      <family val="2"/>
    </font>
    <font>
      <b/>
      <sz val="18"/>
      <name val="Arial"/>
      <family val="2"/>
    </font>
    <font>
      <sz val="18"/>
      <name val="Arial"/>
      <family val="2"/>
    </font>
    <font>
      <sz val="14"/>
      <name val="Arial"/>
      <family val="2"/>
    </font>
    <font>
      <b/>
      <u/>
      <sz val="18"/>
      <name val="Arial"/>
      <family val="2"/>
    </font>
    <font>
      <b/>
      <sz val="12"/>
      <color indexed="8"/>
      <name val="Arial"/>
      <family val="2"/>
    </font>
    <font>
      <sz val="13"/>
      <name val="Arial"/>
      <family val="2"/>
    </font>
    <font>
      <sz val="12"/>
      <name val="Arial"/>
      <family val="2"/>
    </font>
    <font>
      <sz val="11"/>
      <color theme="1"/>
      <name val="Calibri"/>
      <family val="2"/>
      <scheme val="minor"/>
    </font>
    <font>
      <sz val="11"/>
      <name val="Calibri"/>
      <family val="2"/>
    </font>
  </fonts>
  <fills count="3">
    <fill>
      <patternFill patternType="none"/>
    </fill>
    <fill>
      <patternFill patternType="gray125"/>
    </fill>
    <fill>
      <patternFill patternType="solid">
        <fgColor indexed="9"/>
        <bgColor indexed="64"/>
      </patternFill>
    </fill>
  </fills>
  <borders count="28">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s>
  <cellStyleXfs count="3">
    <xf numFmtId="1" fontId="0" fillId="2" borderId="0">
      <alignment horizontal="center" vertical="center"/>
    </xf>
    <xf numFmtId="1" fontId="9" fillId="2" borderId="0">
      <alignment horizontal="center" vertical="center"/>
    </xf>
    <xf numFmtId="0" fontId="10" fillId="0" borderId="0"/>
  </cellStyleXfs>
  <cellXfs count="146">
    <xf numFmtId="1" fontId="0" fillId="2" borderId="0" xfId="0">
      <alignment horizontal="center" vertical="center"/>
    </xf>
    <xf numFmtId="0" fontId="0" fillId="2" borderId="0" xfId="0" applyNumberFormat="1">
      <alignment horizontal="center" vertical="center"/>
    </xf>
    <xf numFmtId="1" fontId="3" fillId="2" borderId="1" xfId="0" applyFont="1" applyBorder="1" applyAlignment="1">
      <alignment horizontal="center" wrapText="1"/>
    </xf>
    <xf numFmtId="1" fontId="3" fillId="2" borderId="2" xfId="0" applyFont="1" applyBorder="1" applyAlignment="1">
      <alignment horizontal="center" wrapText="1"/>
    </xf>
    <xf numFmtId="0" fontId="4" fillId="2" borderId="0" xfId="0" applyNumberFormat="1" applyFont="1">
      <alignment horizontal="center" vertical="center"/>
    </xf>
    <xf numFmtId="164" fontId="5" fillId="2" borderId="4" xfId="0" applyNumberFormat="1" applyFont="1" applyBorder="1" applyAlignment="1">
      <alignment horizontal="center"/>
    </xf>
    <xf numFmtId="164" fontId="5" fillId="2" borderId="6" xfId="0" applyNumberFormat="1" applyFont="1" applyBorder="1" applyAlignment="1">
      <alignment horizontal="center"/>
    </xf>
    <xf numFmtId="164" fontId="7" fillId="2" borderId="4" xfId="0" applyNumberFormat="1" applyFont="1" applyBorder="1" applyAlignment="1">
      <alignment horizontal="center"/>
    </xf>
    <xf numFmtId="0" fontId="0" fillId="2" borderId="0" xfId="0" applyNumberFormat="1" applyAlignment="1">
      <alignment horizontal="left"/>
    </xf>
    <xf numFmtId="0" fontId="1" fillId="2" borderId="7" xfId="0" applyNumberFormat="1" applyFont="1" applyBorder="1" applyAlignment="1">
      <alignment horizontal="center"/>
    </xf>
    <xf numFmtId="0" fontId="3" fillId="2" borderId="8" xfId="0" applyNumberFormat="1" applyFont="1" applyBorder="1" applyAlignment="1">
      <alignment horizontal="center"/>
    </xf>
    <xf numFmtId="164" fontId="7" fillId="2" borderId="2" xfId="0" applyNumberFormat="1" applyFont="1" applyBorder="1" applyAlignment="1">
      <alignment horizontal="center"/>
    </xf>
    <xf numFmtId="165" fontId="7" fillId="2" borderId="12" xfId="0" applyNumberFormat="1" applyFont="1" applyBorder="1" applyAlignment="1">
      <alignment horizontal="center"/>
    </xf>
    <xf numFmtId="0" fontId="5" fillId="2" borderId="16" xfId="0" applyNumberFormat="1" applyFont="1" applyBorder="1" applyAlignment="1" applyProtection="1">
      <alignment horizontal="left"/>
      <protection locked="0"/>
    </xf>
    <xf numFmtId="2" fontId="5" fillId="2" borderId="3" xfId="0" applyNumberFormat="1" applyFont="1" applyBorder="1" applyAlignment="1" applyProtection="1">
      <alignment horizontal="center"/>
      <protection locked="0"/>
    </xf>
    <xf numFmtId="0" fontId="5" fillId="2" borderId="3" xfId="0" applyNumberFormat="1" applyFont="1" applyBorder="1" applyAlignment="1" applyProtection="1">
      <alignment horizontal="center"/>
      <protection locked="0"/>
    </xf>
    <xf numFmtId="164" fontId="5" fillId="2" borderId="3" xfId="0" applyNumberFormat="1" applyFont="1" applyBorder="1" applyAlignment="1" applyProtection="1">
      <alignment horizontal="center"/>
      <protection locked="0"/>
    </xf>
    <xf numFmtId="1" fontId="5" fillId="2" borderId="3" xfId="0" applyFont="1" applyBorder="1" applyAlignment="1" applyProtection="1">
      <alignment horizontal="center"/>
      <protection locked="0"/>
    </xf>
    <xf numFmtId="0" fontId="5" fillId="2" borderId="17" xfId="0" applyNumberFormat="1" applyFont="1" applyBorder="1" applyAlignment="1" applyProtection="1">
      <alignment horizontal="left"/>
      <protection locked="0"/>
    </xf>
    <xf numFmtId="1" fontId="5" fillId="2" borderId="5" xfId="0" applyFont="1" applyBorder="1" applyAlignment="1" applyProtection="1">
      <alignment horizontal="center"/>
      <protection locked="0"/>
    </xf>
    <xf numFmtId="0" fontId="5" fillId="2" borderId="5" xfId="0" applyNumberFormat="1" applyFont="1" applyBorder="1" applyAlignment="1" applyProtection="1">
      <alignment horizontal="center"/>
      <protection locked="0"/>
    </xf>
    <xf numFmtId="164" fontId="5" fillId="2" borderId="5" xfId="0" applyNumberFormat="1" applyFont="1" applyBorder="1" applyAlignment="1" applyProtection="1">
      <alignment horizontal="center"/>
      <protection locked="0"/>
    </xf>
    <xf numFmtId="0" fontId="0" fillId="2" borderId="19" xfId="0" applyNumberFormat="1" applyBorder="1" applyProtection="1">
      <alignment horizontal="center" vertical="center"/>
      <protection locked="0"/>
    </xf>
    <xf numFmtId="0" fontId="5" fillId="2" borderId="18" xfId="0" applyNumberFormat="1" applyFont="1" applyBorder="1" applyAlignment="1" applyProtection="1">
      <alignment horizontal="left" wrapText="1" readingOrder="1"/>
      <protection locked="0"/>
    </xf>
    <xf numFmtId="0" fontId="5" fillId="2" borderId="0" xfId="0" applyNumberFormat="1" applyFont="1" applyAlignment="1" applyProtection="1">
      <alignment horizontal="left" wrapText="1" readingOrder="1"/>
      <protection locked="0"/>
    </xf>
    <xf numFmtId="0" fontId="5" fillId="2" borderId="19" xfId="0" applyNumberFormat="1" applyFont="1" applyBorder="1" applyAlignment="1" applyProtection="1">
      <alignment horizontal="left" wrapText="1" readingOrder="1"/>
      <protection locked="0"/>
    </xf>
    <xf numFmtId="0" fontId="5" fillId="2" borderId="20" xfId="0" applyNumberFormat="1" applyFont="1" applyBorder="1" applyAlignment="1" applyProtection="1">
      <alignment horizontal="left" wrapText="1" readingOrder="1"/>
      <protection locked="0"/>
    </xf>
    <xf numFmtId="0" fontId="5" fillId="2" borderId="21" xfId="0" applyNumberFormat="1" applyFont="1" applyBorder="1" applyAlignment="1" applyProtection="1">
      <alignment horizontal="left" wrapText="1" readingOrder="1"/>
      <protection locked="0"/>
    </xf>
    <xf numFmtId="0" fontId="5" fillId="2" borderId="22" xfId="0" applyNumberFormat="1" applyFont="1" applyBorder="1" applyAlignment="1" applyProtection="1">
      <alignment horizontal="left" wrapText="1" readingOrder="1"/>
      <protection locked="0"/>
    </xf>
    <xf numFmtId="1" fontId="7" fillId="2" borderId="4" xfId="0" applyFont="1" applyBorder="1" applyAlignment="1" applyProtection="1">
      <alignment horizontal="center"/>
      <protection locked="0"/>
    </xf>
    <xf numFmtId="9" fontId="7" fillId="2" borderId="4" xfId="0" applyNumberFormat="1" applyFont="1" applyBorder="1" applyAlignment="1" applyProtection="1">
      <alignment horizontal="center"/>
      <protection locked="0"/>
    </xf>
    <xf numFmtId="164" fontId="7" fillId="2" borderId="4" xfId="0" applyNumberFormat="1" applyFont="1" applyBorder="1" applyAlignment="1" applyProtection="1">
      <alignment horizontal="center"/>
      <protection locked="0"/>
    </xf>
    <xf numFmtId="1" fontId="3" fillId="2" borderId="2" xfId="0" applyFont="1" applyBorder="1" applyAlignment="1" applyProtection="1">
      <alignment horizontal="center"/>
      <protection locked="0"/>
    </xf>
    <xf numFmtId="0" fontId="3" fillId="2" borderId="4" xfId="0" applyNumberFormat="1" applyFont="1" applyBorder="1" applyAlignment="1" applyProtection="1">
      <alignment horizontal="center" vertical="center" wrapText="1"/>
      <protection locked="0"/>
    </xf>
    <xf numFmtId="0" fontId="3" fillId="2" borderId="6" xfId="0" applyNumberFormat="1" applyFont="1" applyBorder="1" applyAlignment="1" applyProtection="1">
      <alignment horizontal="center" vertical="top" readingOrder="1"/>
      <protection locked="0"/>
    </xf>
    <xf numFmtId="0" fontId="0" fillId="2" borderId="0" xfId="0" applyNumberFormat="1" applyAlignment="1" applyProtection="1">
      <alignment horizontal="center" wrapText="1"/>
      <protection locked="0"/>
    </xf>
    <xf numFmtId="0" fontId="0" fillId="2" borderId="19" xfId="0" applyNumberFormat="1" applyBorder="1" applyAlignment="1" applyProtection="1">
      <alignment horizontal="center" wrapText="1"/>
      <protection locked="0"/>
    </xf>
    <xf numFmtId="0" fontId="0" fillId="2" borderId="21" xfId="0" applyNumberFormat="1" applyBorder="1" applyAlignment="1" applyProtection="1">
      <alignment horizontal="center" wrapText="1"/>
      <protection locked="0"/>
    </xf>
    <xf numFmtId="0" fontId="0" fillId="2" borderId="22" xfId="0" applyNumberFormat="1" applyBorder="1" applyAlignment="1" applyProtection="1">
      <alignment horizontal="center" wrapText="1"/>
      <protection locked="0"/>
    </xf>
    <xf numFmtId="0" fontId="0" fillId="2" borderId="18" xfId="0" applyNumberFormat="1" applyBorder="1" applyAlignment="1" applyProtection="1">
      <alignment horizontal="left" wrapText="1"/>
      <protection locked="0"/>
    </xf>
    <xf numFmtId="1" fontId="11" fillId="2" borderId="0" xfId="0" applyFont="1" applyAlignment="1">
      <alignment horizontal="left" vertical="center" indent="4"/>
    </xf>
    <xf numFmtId="0" fontId="5" fillId="2" borderId="10" xfId="0" applyNumberFormat="1" applyFont="1" applyBorder="1" applyAlignment="1">
      <alignment horizontal="left"/>
    </xf>
    <xf numFmtId="2" fontId="5" fillId="2" borderId="3" xfId="0" applyNumberFormat="1" applyFont="1" applyBorder="1" applyAlignment="1">
      <alignment horizontal="center"/>
    </xf>
    <xf numFmtId="0" fontId="5" fillId="2" borderId="3" xfId="0" applyNumberFormat="1" applyFont="1" applyBorder="1" applyAlignment="1">
      <alignment horizontal="center"/>
    </xf>
    <xf numFmtId="164" fontId="5" fillId="2" borderId="3" xfId="0" applyNumberFormat="1" applyFont="1" applyBorder="1" applyAlignment="1">
      <alignment horizontal="center"/>
    </xf>
    <xf numFmtId="2" fontId="3" fillId="2" borderId="2" xfId="0" applyNumberFormat="1" applyFont="1" applyBorder="1" applyAlignment="1" applyProtection="1">
      <alignment horizontal="center"/>
      <protection locked="0"/>
    </xf>
    <xf numFmtId="1" fontId="1" fillId="2" borderId="7" xfId="0" applyFont="1" applyBorder="1" applyAlignment="1">
      <alignment horizontal="center"/>
    </xf>
    <xf numFmtId="1" fontId="3" fillId="2" borderId="8" xfId="0" applyFont="1" applyBorder="1" applyAlignment="1">
      <alignment horizontal="center"/>
    </xf>
    <xf numFmtId="1" fontId="4" fillId="2" borderId="0" xfId="0" applyFont="1">
      <alignment horizontal="center" vertical="center"/>
    </xf>
    <xf numFmtId="1" fontId="5" fillId="2" borderId="10" xfId="0" applyFont="1" applyBorder="1" applyAlignment="1">
      <alignment horizontal="left"/>
    </xf>
    <xf numFmtId="1" fontId="5" fillId="2" borderId="3" xfId="0" applyFont="1" applyBorder="1" applyAlignment="1">
      <alignment horizontal="center"/>
    </xf>
    <xf numFmtId="1" fontId="5" fillId="2" borderId="16" xfId="0" applyFont="1" applyBorder="1" applyAlignment="1" applyProtection="1">
      <alignment horizontal="left"/>
      <protection locked="0"/>
    </xf>
    <xf numFmtId="1" fontId="5" fillId="2" borderId="17" xfId="0" applyFont="1" applyBorder="1" applyAlignment="1" applyProtection="1">
      <alignment horizontal="left"/>
      <protection locked="0"/>
    </xf>
    <xf numFmtId="1" fontId="0" fillId="2" borderId="18" xfId="0" applyBorder="1" applyAlignment="1" applyProtection="1">
      <alignment horizontal="left" wrapText="1"/>
      <protection locked="0"/>
    </xf>
    <xf numFmtId="1" fontId="0" fillId="2" borderId="19" xfId="0" applyBorder="1" applyProtection="1">
      <alignment horizontal="center" vertical="center"/>
      <protection locked="0"/>
    </xf>
    <xf numFmtId="1" fontId="3" fillId="2" borderId="4" xfId="0" applyFont="1" applyBorder="1" applyAlignment="1" applyProtection="1">
      <alignment horizontal="center" vertical="center" wrapText="1"/>
      <protection locked="0"/>
    </xf>
    <xf numFmtId="1" fontId="3" fillId="2" borderId="6" xfId="0" applyFont="1" applyBorder="1" applyAlignment="1" applyProtection="1">
      <alignment horizontal="center" vertical="top" readingOrder="1"/>
      <protection locked="0"/>
    </xf>
    <xf numFmtId="1" fontId="5" fillId="2" borderId="18" xfId="0" applyFont="1" applyBorder="1" applyAlignment="1" applyProtection="1">
      <alignment horizontal="left" wrapText="1" readingOrder="1"/>
      <protection locked="0"/>
    </xf>
    <xf numFmtId="1" fontId="5" fillId="2" borderId="0" xfId="0" applyFont="1" applyAlignment="1" applyProtection="1">
      <alignment horizontal="left" wrapText="1" readingOrder="1"/>
      <protection locked="0"/>
    </xf>
    <xf numFmtId="1" fontId="5" fillId="2" borderId="19" xfId="0" applyFont="1" applyBorder="1" applyAlignment="1" applyProtection="1">
      <alignment horizontal="left" wrapText="1" readingOrder="1"/>
      <protection locked="0"/>
    </xf>
    <xf numFmtId="1" fontId="0" fillId="2" borderId="0" xfId="0" applyAlignment="1" applyProtection="1">
      <alignment horizontal="center" wrapText="1"/>
      <protection locked="0"/>
    </xf>
    <xf numFmtId="1" fontId="0" fillId="2" borderId="19" xfId="0" applyBorder="1" applyAlignment="1" applyProtection="1">
      <alignment horizontal="center" wrapText="1"/>
      <protection locked="0"/>
    </xf>
    <xf numFmtId="1" fontId="5" fillId="2" borderId="20" xfId="0" applyFont="1" applyBorder="1" applyAlignment="1" applyProtection="1">
      <alignment horizontal="left" wrapText="1" readingOrder="1"/>
      <protection locked="0"/>
    </xf>
    <xf numFmtId="1" fontId="5" fillId="2" borderId="21" xfId="0" applyFont="1" applyBorder="1" applyAlignment="1" applyProtection="1">
      <alignment horizontal="left" wrapText="1" readingOrder="1"/>
      <protection locked="0"/>
    </xf>
    <xf numFmtId="1" fontId="5" fillId="2" borderId="22" xfId="0" applyFont="1" applyBorder="1" applyAlignment="1" applyProtection="1">
      <alignment horizontal="left" wrapText="1" readingOrder="1"/>
      <protection locked="0"/>
    </xf>
    <xf numFmtId="1" fontId="0" fillId="2" borderId="21" xfId="0" applyBorder="1" applyAlignment="1" applyProtection="1">
      <alignment horizontal="center" wrapText="1"/>
      <protection locked="0"/>
    </xf>
    <xf numFmtId="1" fontId="0" fillId="2" borderId="22" xfId="0" applyBorder="1" applyAlignment="1" applyProtection="1">
      <alignment horizontal="center" wrapText="1"/>
      <protection locked="0"/>
    </xf>
    <xf numFmtId="1" fontId="0" fillId="2" borderId="0" xfId="0" applyAlignment="1">
      <alignment horizontal="left"/>
    </xf>
    <xf numFmtId="1" fontId="1" fillId="2" borderId="3" xfId="0" applyFont="1" applyBorder="1" applyAlignment="1">
      <alignment horizontal="center"/>
    </xf>
    <xf numFmtId="1" fontId="3" fillId="2" borderId="3" xfId="0" applyFont="1" applyBorder="1" applyAlignment="1">
      <alignment horizontal="center"/>
    </xf>
    <xf numFmtId="1" fontId="3" fillId="2" borderId="3" xfId="0" applyFont="1" applyBorder="1" applyAlignment="1">
      <alignment horizontal="center" wrapText="1"/>
    </xf>
    <xf numFmtId="1" fontId="0" fillId="2" borderId="3" xfId="0" applyBorder="1" applyAlignment="1">
      <alignment horizontal="left"/>
    </xf>
    <xf numFmtId="1" fontId="0" fillId="2" borderId="3" xfId="0" applyBorder="1">
      <alignment horizontal="center" vertical="center"/>
    </xf>
    <xf numFmtId="0" fontId="2" fillId="2" borderId="7" xfId="0" applyNumberFormat="1" applyFont="1" applyBorder="1" applyAlignment="1" applyProtection="1">
      <alignment horizontal="center"/>
      <protection locked="0"/>
    </xf>
    <xf numFmtId="0" fontId="2" fillId="2" borderId="13" xfId="0" applyNumberFormat="1" applyFont="1" applyBorder="1" applyAlignment="1" applyProtection="1">
      <alignment horizontal="center"/>
      <protection locked="0"/>
    </xf>
    <xf numFmtId="0" fontId="2" fillId="2" borderId="14" xfId="0" applyNumberFormat="1" applyFont="1" applyBorder="1" applyAlignment="1" applyProtection="1">
      <alignment horizontal="center"/>
      <protection locked="0"/>
    </xf>
    <xf numFmtId="0" fontId="6" fillId="2" borderId="7" xfId="0" applyNumberFormat="1" applyFont="1" applyBorder="1" applyAlignment="1">
      <alignment horizontal="center" vertical="center" wrapText="1" readingOrder="1"/>
    </xf>
    <xf numFmtId="0" fontId="6" fillId="2" borderId="14" xfId="0" applyNumberFormat="1" applyFont="1" applyBorder="1" applyAlignment="1">
      <alignment horizontal="center" vertical="center" wrapText="1" readingOrder="1"/>
    </xf>
    <xf numFmtId="164" fontId="3" fillId="2" borderId="15" xfId="0" applyNumberFormat="1" applyFont="1" applyBorder="1" applyAlignment="1">
      <alignment horizontal="right"/>
    </xf>
    <xf numFmtId="164" fontId="3" fillId="2" borderId="1" xfId="0" applyNumberFormat="1" applyFont="1" applyBorder="1" applyAlignment="1">
      <alignment horizontal="right"/>
    </xf>
    <xf numFmtId="0" fontId="3" fillId="2" borderId="26" xfId="0" applyNumberFormat="1" applyFont="1" applyBorder="1" applyAlignment="1">
      <alignment horizontal="right" wrapText="1" readingOrder="1"/>
    </xf>
    <xf numFmtId="0" fontId="3" fillId="2" borderId="3" xfId="0" applyNumberFormat="1" applyFont="1" applyBorder="1" applyAlignment="1">
      <alignment horizontal="right" wrapText="1" readingOrder="1"/>
    </xf>
    <xf numFmtId="0" fontId="0" fillId="2" borderId="18" xfId="0" applyNumberFormat="1" applyBorder="1" applyAlignment="1" applyProtection="1">
      <alignment horizontal="left"/>
      <protection locked="0"/>
    </xf>
    <xf numFmtId="1" fontId="0" fillId="2" borderId="19" xfId="0" applyBorder="1" applyAlignment="1" applyProtection="1">
      <alignment horizontal="left"/>
      <protection locked="0"/>
    </xf>
    <xf numFmtId="0" fontId="3" fillId="2" borderId="25" xfId="0" applyNumberFormat="1" applyFont="1" applyBorder="1" applyAlignment="1">
      <alignment horizontal="right" wrapText="1" readingOrder="1"/>
    </xf>
    <xf numFmtId="0" fontId="3" fillId="2" borderId="5" xfId="0" applyNumberFormat="1" applyFont="1" applyBorder="1" applyAlignment="1">
      <alignment horizontal="right" wrapText="1" readingOrder="1"/>
    </xf>
    <xf numFmtId="0" fontId="0" fillId="2" borderId="18" xfId="0" applyNumberFormat="1" applyBorder="1" applyAlignment="1" applyProtection="1">
      <alignment horizontal="left" vertical="top" readingOrder="1"/>
      <protection locked="0"/>
    </xf>
    <xf numFmtId="0" fontId="0" fillId="2" borderId="19" xfId="0" applyNumberFormat="1" applyBorder="1" applyAlignment="1" applyProtection="1">
      <alignment horizontal="left" vertical="top" readingOrder="1"/>
      <protection locked="0"/>
    </xf>
    <xf numFmtId="0" fontId="6" fillId="2" borderId="7" xfId="0" applyNumberFormat="1" applyFont="1" applyBorder="1" applyAlignment="1">
      <alignment horizontal="center" vertical="top" readingOrder="1"/>
    </xf>
    <xf numFmtId="0" fontId="6" fillId="2" borderId="13" xfId="0" applyNumberFormat="1" applyFont="1" applyBorder="1" applyAlignment="1">
      <alignment horizontal="center" vertical="top" readingOrder="1"/>
    </xf>
    <xf numFmtId="0" fontId="6" fillId="2" borderId="14" xfId="0" applyNumberFormat="1" applyFont="1" applyBorder="1" applyAlignment="1">
      <alignment horizontal="center" vertical="top" readingOrder="1"/>
    </xf>
    <xf numFmtId="0" fontId="5" fillId="2" borderId="18" xfId="0" applyNumberFormat="1" applyFont="1" applyBorder="1" applyAlignment="1" applyProtection="1">
      <alignment horizontal="left" wrapText="1" readingOrder="1"/>
      <protection locked="0"/>
    </xf>
    <xf numFmtId="0" fontId="5" fillId="2" borderId="0" xfId="0" applyNumberFormat="1" applyFont="1" applyAlignment="1" applyProtection="1">
      <alignment horizontal="left" wrapText="1" readingOrder="1"/>
      <protection locked="0"/>
    </xf>
    <xf numFmtId="0" fontId="5" fillId="2" borderId="19" xfId="0" applyNumberFormat="1" applyFont="1" applyBorder="1" applyAlignment="1" applyProtection="1">
      <alignment horizontal="left" wrapText="1" readingOrder="1"/>
      <protection locked="0"/>
    </xf>
    <xf numFmtId="0" fontId="0" fillId="2" borderId="20" xfId="0" applyNumberFormat="1" applyBorder="1" applyAlignment="1" applyProtection="1">
      <alignment horizontal="left"/>
      <protection locked="0"/>
    </xf>
    <xf numFmtId="1" fontId="0" fillId="2" borderId="22" xfId="0" applyBorder="1" applyAlignment="1" applyProtection="1">
      <alignment horizontal="left"/>
      <protection locked="0"/>
    </xf>
    <xf numFmtId="0" fontId="6" fillId="2" borderId="18" xfId="0" applyNumberFormat="1" applyFont="1" applyBorder="1" applyAlignment="1">
      <alignment horizontal="center" wrapText="1"/>
    </xf>
    <xf numFmtId="0" fontId="6" fillId="2" borderId="19" xfId="0" applyNumberFormat="1" applyFont="1" applyBorder="1" applyAlignment="1">
      <alignment horizontal="center" wrapText="1"/>
    </xf>
    <xf numFmtId="0" fontId="0" fillId="2" borderId="18" xfId="0" applyNumberFormat="1" applyBorder="1" applyAlignment="1" applyProtection="1">
      <alignment horizontal="left" vertical="center"/>
      <protection locked="0"/>
    </xf>
    <xf numFmtId="0" fontId="0" fillId="2" borderId="0" xfId="0" applyNumberFormat="1" applyAlignment="1" applyProtection="1">
      <alignment horizontal="left" vertical="center"/>
      <protection locked="0"/>
    </xf>
    <xf numFmtId="0" fontId="0" fillId="2" borderId="19" xfId="0" applyNumberFormat="1" applyBorder="1" applyAlignment="1" applyProtection="1">
      <alignment horizontal="left" vertical="center"/>
      <protection locked="0"/>
    </xf>
    <xf numFmtId="0" fontId="6" fillId="2" borderId="9" xfId="0" applyNumberFormat="1" applyFont="1" applyBorder="1" applyAlignment="1" applyProtection="1">
      <alignment horizontal="center" wrapText="1" readingOrder="1"/>
      <protection locked="0"/>
    </xf>
    <xf numFmtId="0" fontId="6" fillId="2" borderId="24" xfId="0" applyNumberFormat="1" applyFont="1" applyBorder="1" applyAlignment="1" applyProtection="1">
      <alignment horizontal="center" wrapText="1" readingOrder="1"/>
      <protection locked="0"/>
    </xf>
    <xf numFmtId="7" fontId="7" fillId="2" borderId="9" xfId="0" applyNumberFormat="1" applyFont="1" applyBorder="1" applyAlignment="1">
      <alignment horizontal="center"/>
    </xf>
    <xf numFmtId="7" fontId="7" fillId="2" borderId="15" xfId="0" applyNumberFormat="1" applyFont="1" applyBorder="1" applyAlignment="1">
      <alignment horizontal="center"/>
    </xf>
    <xf numFmtId="0" fontId="8" fillId="2" borderId="16" xfId="0" applyNumberFormat="1" applyFont="1" applyBorder="1" applyAlignment="1" applyProtection="1">
      <alignment horizontal="left" vertical="top" wrapText="1"/>
      <protection locked="0"/>
    </xf>
    <xf numFmtId="0" fontId="8" fillId="2" borderId="4" xfId="0" applyNumberFormat="1" applyFont="1" applyBorder="1" applyAlignment="1" applyProtection="1">
      <alignment horizontal="left" vertical="top" wrapText="1"/>
      <protection locked="0"/>
    </xf>
    <xf numFmtId="7" fontId="7" fillId="2" borderId="10" xfId="0" applyNumberFormat="1" applyFont="1" applyBorder="1" applyAlignment="1">
      <alignment horizontal="center"/>
    </xf>
    <xf numFmtId="7" fontId="7" fillId="2" borderId="26" xfId="0" applyNumberFormat="1" applyFont="1" applyBorder="1" applyAlignment="1">
      <alignment horizontal="center"/>
    </xf>
    <xf numFmtId="0" fontId="8" fillId="2" borderId="23" xfId="0" applyNumberFormat="1" applyFont="1" applyBorder="1" applyAlignment="1" applyProtection="1">
      <alignment horizontal="left" vertical="top" wrapText="1"/>
      <protection locked="0"/>
    </xf>
    <xf numFmtId="0" fontId="8" fillId="2" borderId="12" xfId="0" applyNumberFormat="1" applyFont="1" applyBorder="1" applyAlignment="1" applyProtection="1">
      <alignment horizontal="left" vertical="top" wrapText="1"/>
      <protection locked="0"/>
    </xf>
    <xf numFmtId="0" fontId="7" fillId="2" borderId="11" xfId="0" applyNumberFormat="1" applyFont="1" applyBorder="1" applyAlignment="1">
      <alignment horizontal="center"/>
    </xf>
    <xf numFmtId="0" fontId="7" fillId="2" borderId="27" xfId="0" applyNumberFormat="1" applyFont="1" applyBorder="1" applyAlignment="1">
      <alignment horizontal="center"/>
    </xf>
    <xf numFmtId="1" fontId="8" fillId="2" borderId="23" xfId="0" applyFont="1" applyBorder="1" applyAlignment="1" applyProtection="1">
      <alignment horizontal="left" vertical="top" wrapText="1"/>
      <protection locked="0"/>
    </xf>
    <xf numFmtId="1" fontId="8" fillId="2" borderId="12" xfId="0" applyFont="1" applyBorder="1" applyAlignment="1" applyProtection="1">
      <alignment horizontal="left" vertical="top" wrapText="1"/>
      <protection locked="0"/>
    </xf>
    <xf numFmtId="1" fontId="7" fillId="2" borderId="11" xfId="0" applyFont="1" applyBorder="1" applyAlignment="1">
      <alignment horizontal="center"/>
    </xf>
    <xf numFmtId="1" fontId="7" fillId="2" borderId="27" xfId="0" applyFont="1" applyBorder="1" applyAlignment="1">
      <alignment horizontal="center"/>
    </xf>
    <xf numFmtId="1" fontId="8" fillId="2" borderId="16" xfId="0" applyFont="1" applyBorder="1" applyAlignment="1" applyProtection="1">
      <alignment horizontal="left" vertical="top" wrapText="1"/>
      <protection locked="0"/>
    </xf>
    <xf numFmtId="1" fontId="8" fillId="2" borderId="4" xfId="0" applyFont="1" applyBorder="1" applyAlignment="1" applyProtection="1">
      <alignment horizontal="left" vertical="top" wrapText="1"/>
      <protection locked="0"/>
    </xf>
    <xf numFmtId="1" fontId="6" fillId="2" borderId="9" xfId="0" applyFont="1" applyBorder="1" applyAlignment="1" applyProtection="1">
      <alignment horizontal="center" wrapText="1" readingOrder="1"/>
      <protection locked="0"/>
    </xf>
    <xf numFmtId="1" fontId="6" fillId="2" borderId="24" xfId="0" applyFont="1" applyBorder="1" applyAlignment="1" applyProtection="1">
      <alignment horizontal="center" wrapText="1" readingOrder="1"/>
      <protection locked="0"/>
    </xf>
    <xf numFmtId="1" fontId="0" fillId="2" borderId="18" xfId="0" applyBorder="1" applyAlignment="1" applyProtection="1">
      <alignment horizontal="left" vertical="center"/>
      <protection locked="0"/>
    </xf>
    <xf numFmtId="1" fontId="0" fillId="2" borderId="0" xfId="0" applyAlignment="1" applyProtection="1">
      <alignment horizontal="left" vertical="center"/>
      <protection locked="0"/>
    </xf>
    <xf numFmtId="1" fontId="0" fillId="2" borderId="19" xfId="0" applyBorder="1" applyAlignment="1" applyProtection="1">
      <alignment horizontal="left" vertical="center"/>
      <protection locked="0"/>
    </xf>
    <xf numFmtId="1" fontId="5" fillId="2" borderId="18" xfId="0" applyFont="1" applyBorder="1" applyAlignment="1" applyProtection="1">
      <alignment horizontal="left" wrapText="1" readingOrder="1"/>
      <protection locked="0"/>
    </xf>
    <xf numFmtId="1" fontId="5" fillId="2" borderId="0" xfId="0" applyFont="1" applyAlignment="1" applyProtection="1">
      <alignment horizontal="left" wrapText="1" readingOrder="1"/>
      <protection locked="0"/>
    </xf>
    <xf numFmtId="1" fontId="5" fillId="2" borderId="19" xfId="0" applyFont="1" applyBorder="1" applyAlignment="1" applyProtection="1">
      <alignment horizontal="left" wrapText="1" readingOrder="1"/>
      <protection locked="0"/>
    </xf>
    <xf numFmtId="1" fontId="6" fillId="2" borderId="7" xfId="0" applyFont="1" applyBorder="1" applyAlignment="1">
      <alignment horizontal="center" vertical="top" readingOrder="1"/>
    </xf>
    <xf numFmtId="1" fontId="6" fillId="2" borderId="13" xfId="0" applyFont="1" applyBorder="1" applyAlignment="1">
      <alignment horizontal="center" vertical="top" readingOrder="1"/>
    </xf>
    <xf numFmtId="1" fontId="6" fillId="2" borderId="14" xfId="0" applyFont="1" applyBorder="1" applyAlignment="1">
      <alignment horizontal="center" vertical="top" readingOrder="1"/>
    </xf>
    <xf numFmtId="1" fontId="0" fillId="2" borderId="18" xfId="0" applyBorder="1" applyAlignment="1" applyProtection="1">
      <alignment horizontal="left" vertical="top" readingOrder="1"/>
      <protection locked="0"/>
    </xf>
    <xf numFmtId="1" fontId="0" fillId="2" borderId="19" xfId="0" applyBorder="1" applyAlignment="1" applyProtection="1">
      <alignment horizontal="left" vertical="top" readingOrder="1"/>
      <protection locked="0"/>
    </xf>
    <xf numFmtId="1" fontId="0" fillId="2" borderId="18" xfId="0" applyBorder="1" applyAlignment="1" applyProtection="1">
      <alignment horizontal="left"/>
      <protection locked="0"/>
    </xf>
    <xf numFmtId="1" fontId="0" fillId="2" borderId="20" xfId="0" applyBorder="1" applyAlignment="1" applyProtection="1">
      <alignment horizontal="left"/>
      <protection locked="0"/>
    </xf>
    <xf numFmtId="1" fontId="6" fillId="2" borderId="18" xfId="0" applyFont="1" applyBorder="1" applyAlignment="1">
      <alignment horizontal="center" wrapText="1"/>
    </xf>
    <xf numFmtId="1" fontId="6" fillId="2" borderId="19" xfId="0" applyFont="1" applyBorder="1" applyAlignment="1">
      <alignment horizontal="center" wrapText="1"/>
    </xf>
    <xf numFmtId="1" fontId="2" fillId="2" borderId="7" xfId="0" applyFont="1" applyBorder="1" applyAlignment="1" applyProtection="1">
      <alignment horizontal="center"/>
      <protection locked="0"/>
    </xf>
    <xf numFmtId="1" fontId="2" fillId="2" borderId="13" xfId="0" applyFont="1" applyBorder="1" applyAlignment="1" applyProtection="1">
      <alignment horizontal="center"/>
      <protection locked="0"/>
    </xf>
    <xf numFmtId="1" fontId="2" fillId="2" borderId="14" xfId="0" applyFont="1" applyBorder="1" applyAlignment="1" applyProtection="1">
      <alignment horizontal="center"/>
      <protection locked="0"/>
    </xf>
    <xf numFmtId="1" fontId="6" fillId="2" borderId="7" xfId="0" applyFont="1" applyBorder="1" applyAlignment="1">
      <alignment horizontal="center" vertical="center" wrapText="1" readingOrder="1"/>
    </xf>
    <xf numFmtId="1" fontId="6" fillId="2" borderId="14" xfId="0" applyFont="1" applyBorder="1" applyAlignment="1">
      <alignment horizontal="center" vertical="center" wrapText="1" readingOrder="1"/>
    </xf>
    <xf numFmtId="1" fontId="3" fillId="2" borderId="26" xfId="0" applyFont="1" applyBorder="1" applyAlignment="1">
      <alignment horizontal="right" wrapText="1" readingOrder="1"/>
    </xf>
    <xf numFmtId="1" fontId="3" fillId="2" borderId="3" xfId="0" applyFont="1" applyBorder="1" applyAlignment="1">
      <alignment horizontal="right" wrapText="1" readingOrder="1"/>
    </xf>
    <xf numFmtId="1" fontId="3" fillId="2" borderId="25" xfId="0" applyFont="1" applyBorder="1" applyAlignment="1">
      <alignment horizontal="right" wrapText="1" readingOrder="1"/>
    </xf>
    <xf numFmtId="1" fontId="3" fillId="2" borderId="5" xfId="0" applyFont="1" applyBorder="1" applyAlignment="1">
      <alignment horizontal="right" wrapText="1" readingOrder="1"/>
    </xf>
    <xf numFmtId="1" fontId="2" fillId="2" borderId="3" xfId="0" applyFont="1" applyBorder="1" applyAlignment="1" applyProtection="1">
      <alignment horizontal="center"/>
      <protection locked="0"/>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evysource.levyrestaurants.com\C4\SEGroupCulinary\Filing%20Cabinet\2011%20NEW%20Global%20Recipe%20Format\Recipe%20Templat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ion Spec"/>
      <sheetName val="Batch Recipe"/>
      <sheetName val="Recipe Development"/>
    </sheet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48A77-ECE9-4A87-BD77-0F47B7E9A048}">
  <sheetPr codeName="Sheet1">
    <tabColor rgb="FF00FF00"/>
    <pageSetUpPr fitToPage="1"/>
  </sheetPr>
  <dimension ref="A1:E59"/>
  <sheetViews>
    <sheetView zoomScale="75" zoomScaleNormal="75" workbookViewId="0">
      <selection activeCell="A25" sqref="A25"/>
    </sheetView>
  </sheetViews>
  <sheetFormatPr defaultColWidth="9.5546875" defaultRowHeight="15" x14ac:dyDescent="0.2"/>
  <cols>
    <col min="1" max="1" width="58.6640625" style="8" customWidth="1"/>
    <col min="2" max="2" width="21.77734375" style="1" customWidth="1"/>
    <col min="3" max="5" width="16.77734375" style="1" customWidth="1"/>
    <col min="6" max="16384" width="9.5546875" style="1"/>
  </cols>
  <sheetData>
    <row r="1" spans="1:5" ht="30.75" thickBot="1" x14ac:dyDescent="0.45">
      <c r="A1" s="9" t="s">
        <v>78</v>
      </c>
      <c r="B1" s="73" t="s">
        <v>0</v>
      </c>
      <c r="C1" s="74"/>
      <c r="D1" s="74"/>
      <c r="E1" s="75"/>
    </row>
    <row r="2" spans="1:5" s="4" customFormat="1" ht="23.25" x14ac:dyDescent="0.35">
      <c r="A2" s="10" t="s">
        <v>1</v>
      </c>
      <c r="B2" s="2" t="s">
        <v>2</v>
      </c>
      <c r="C2" s="2" t="s">
        <v>3</v>
      </c>
      <c r="D2" s="2" t="s">
        <v>4</v>
      </c>
      <c r="E2" s="3" t="s">
        <v>5</v>
      </c>
    </row>
    <row r="3" spans="1:5" ht="19.5" customHeight="1" x14ac:dyDescent="0.25">
      <c r="A3" s="41" t="s">
        <v>6</v>
      </c>
      <c r="B3" s="42">
        <v>5</v>
      </c>
      <c r="C3" s="43" t="s">
        <v>7</v>
      </c>
      <c r="D3" s="44">
        <v>0.65</v>
      </c>
      <c r="E3" s="5">
        <v>3.25</v>
      </c>
    </row>
    <row r="4" spans="1:5" ht="19.5" customHeight="1" x14ac:dyDescent="0.25">
      <c r="A4" s="41" t="s">
        <v>8</v>
      </c>
      <c r="B4" s="42">
        <v>3</v>
      </c>
      <c r="C4" s="43" t="s">
        <v>9</v>
      </c>
      <c r="D4" s="44">
        <v>0.12</v>
      </c>
      <c r="E4" s="5">
        <v>0.36</v>
      </c>
    </row>
    <row r="5" spans="1:5" ht="19.5" customHeight="1" x14ac:dyDescent="0.25">
      <c r="A5" s="41"/>
      <c r="B5" s="42"/>
      <c r="C5" s="43"/>
      <c r="D5" s="44"/>
      <c r="E5" s="5"/>
    </row>
    <row r="6" spans="1:5" ht="19.5" customHeight="1" x14ac:dyDescent="0.25">
      <c r="A6" s="41"/>
      <c r="B6" s="42"/>
      <c r="C6" s="43"/>
      <c r="D6" s="44"/>
      <c r="E6" s="5"/>
    </row>
    <row r="7" spans="1:5" ht="19.5" customHeight="1" x14ac:dyDescent="0.25">
      <c r="A7" s="41"/>
      <c r="B7" s="42"/>
      <c r="C7" s="43"/>
      <c r="D7" s="44"/>
      <c r="E7" s="5"/>
    </row>
    <row r="8" spans="1:5" ht="19.5" customHeight="1" x14ac:dyDescent="0.25">
      <c r="A8" s="41"/>
      <c r="B8" s="42"/>
      <c r="C8" s="43"/>
      <c r="D8" s="44"/>
      <c r="E8" s="5"/>
    </row>
    <row r="9" spans="1:5" ht="19.5" customHeight="1" x14ac:dyDescent="0.25">
      <c r="A9" s="41"/>
      <c r="B9" s="42"/>
      <c r="C9" s="43"/>
      <c r="D9" s="44"/>
      <c r="E9" s="5"/>
    </row>
    <row r="10" spans="1:5" ht="19.5" customHeight="1" x14ac:dyDescent="0.25">
      <c r="A10" s="41"/>
      <c r="B10" s="42"/>
      <c r="C10" s="43"/>
      <c r="D10" s="44"/>
      <c r="E10" s="5"/>
    </row>
    <row r="11" spans="1:5" ht="19.5" customHeight="1" x14ac:dyDescent="0.25">
      <c r="A11" s="41"/>
      <c r="B11" s="42"/>
      <c r="C11" s="43"/>
      <c r="D11" s="44"/>
      <c r="E11" s="5"/>
    </row>
    <row r="12" spans="1:5" ht="19.5" customHeight="1" x14ac:dyDescent="0.25">
      <c r="A12" s="41"/>
      <c r="B12" s="42"/>
      <c r="C12" s="43"/>
      <c r="D12" s="44"/>
      <c r="E12" s="5"/>
    </row>
    <row r="13" spans="1:5" ht="19.5" customHeight="1" x14ac:dyDescent="0.25">
      <c r="A13" s="13"/>
      <c r="B13" s="17"/>
      <c r="C13" s="15"/>
      <c r="D13" s="16"/>
      <c r="E13" s="5"/>
    </row>
    <row r="14" spans="1:5" ht="19.5" customHeight="1" x14ac:dyDescent="0.25">
      <c r="A14" s="13"/>
      <c r="B14" s="17"/>
      <c r="C14" s="15"/>
      <c r="D14" s="16"/>
      <c r="E14" s="5"/>
    </row>
    <row r="15" spans="1:5" ht="19.5" customHeight="1" x14ac:dyDescent="0.25">
      <c r="A15" s="13"/>
      <c r="B15" s="17"/>
      <c r="C15" s="15"/>
      <c r="D15" s="16"/>
      <c r="E15" s="5"/>
    </row>
    <row r="16" spans="1:5" ht="19.5" customHeight="1" x14ac:dyDescent="0.25">
      <c r="A16" s="13"/>
      <c r="B16" s="17"/>
      <c r="C16" s="15"/>
      <c r="D16" s="16"/>
      <c r="E16" s="5"/>
    </row>
    <row r="17" spans="1:5" ht="19.5" customHeight="1" x14ac:dyDescent="0.25">
      <c r="A17" s="13"/>
      <c r="B17" s="17"/>
      <c r="C17" s="15"/>
      <c r="D17" s="16"/>
      <c r="E17" s="5"/>
    </row>
    <row r="18" spans="1:5" ht="19.5" customHeight="1" x14ac:dyDescent="0.25">
      <c r="A18" s="13"/>
      <c r="B18" s="17"/>
      <c r="C18" s="15"/>
      <c r="D18" s="16"/>
      <c r="E18" s="5"/>
    </row>
    <row r="19" spans="1:5" ht="19.5" customHeight="1" x14ac:dyDescent="0.25">
      <c r="A19" s="13"/>
      <c r="B19" s="17"/>
      <c r="C19" s="15"/>
      <c r="D19" s="16"/>
      <c r="E19" s="5"/>
    </row>
    <row r="20" spans="1:5" ht="19.5" customHeight="1" x14ac:dyDescent="0.25">
      <c r="A20" s="13"/>
      <c r="B20" s="17"/>
      <c r="C20" s="15"/>
      <c r="D20" s="16"/>
      <c r="E20" s="5"/>
    </row>
    <row r="21" spans="1:5" ht="19.5" customHeight="1" x14ac:dyDescent="0.25">
      <c r="A21" s="13"/>
      <c r="B21" s="17"/>
      <c r="C21" s="15"/>
      <c r="D21" s="16"/>
      <c r="E21" s="5"/>
    </row>
    <row r="22" spans="1:5" ht="19.5" customHeight="1" x14ac:dyDescent="0.25">
      <c r="A22" s="13"/>
      <c r="B22" s="17"/>
      <c r="C22" s="15"/>
      <c r="D22" s="16"/>
      <c r="E22" s="5"/>
    </row>
    <row r="23" spans="1:5" ht="19.5" customHeight="1" thickBot="1" x14ac:dyDescent="0.3">
      <c r="A23" s="18"/>
      <c r="B23" s="19"/>
      <c r="C23" s="20"/>
      <c r="D23" s="21"/>
      <c r="E23" s="6"/>
    </row>
    <row r="24" spans="1:5" ht="17.25" customHeight="1" x14ac:dyDescent="0.35">
      <c r="A24" s="76" t="s">
        <v>10</v>
      </c>
      <c r="B24" s="77"/>
      <c r="C24" s="78" t="s">
        <v>11</v>
      </c>
      <c r="D24" s="79"/>
      <c r="E24" s="32">
        <v>1</v>
      </c>
    </row>
    <row r="25" spans="1:5" ht="211.5" customHeight="1" x14ac:dyDescent="0.35">
      <c r="A25" s="39" t="s">
        <v>12</v>
      </c>
      <c r="B25" s="22"/>
      <c r="C25" s="80" t="s">
        <v>13</v>
      </c>
      <c r="D25" s="81"/>
      <c r="E25" s="33" t="s">
        <v>14</v>
      </c>
    </row>
    <row r="26" spans="1:5" ht="21" customHeight="1" thickBot="1" x14ac:dyDescent="0.4">
      <c r="A26" s="82"/>
      <c r="B26" s="83"/>
      <c r="C26" s="84" t="s">
        <v>15</v>
      </c>
      <c r="D26" s="85"/>
      <c r="E26" s="34" t="s">
        <v>16</v>
      </c>
    </row>
    <row r="27" spans="1:5" ht="23.25" x14ac:dyDescent="0.2">
      <c r="A27" s="86"/>
      <c r="B27" s="87"/>
      <c r="C27" s="88" t="s">
        <v>17</v>
      </c>
      <c r="D27" s="89"/>
      <c r="E27" s="90"/>
    </row>
    <row r="28" spans="1:5" ht="27.75" customHeight="1" x14ac:dyDescent="0.25">
      <c r="A28" s="82"/>
      <c r="B28" s="83"/>
      <c r="C28" s="91" t="s">
        <v>18</v>
      </c>
      <c r="D28" s="92"/>
      <c r="E28" s="93"/>
    </row>
    <row r="29" spans="1:5" ht="18" customHeight="1" x14ac:dyDescent="0.25">
      <c r="A29" s="82"/>
      <c r="B29" s="83"/>
      <c r="C29" s="91" t="s">
        <v>19</v>
      </c>
      <c r="D29" s="92"/>
      <c r="E29" s="93"/>
    </row>
    <row r="30" spans="1:5" ht="18" x14ac:dyDescent="0.25">
      <c r="A30" s="86"/>
      <c r="B30" s="87"/>
      <c r="C30" s="91" t="s">
        <v>20</v>
      </c>
      <c r="D30" s="92"/>
      <c r="E30" s="93"/>
    </row>
    <row r="31" spans="1:5" ht="17.100000000000001" customHeight="1" x14ac:dyDescent="0.25">
      <c r="A31" s="82"/>
      <c r="B31" s="83"/>
      <c r="C31" s="91"/>
      <c r="D31" s="92"/>
      <c r="E31" s="93"/>
    </row>
    <row r="32" spans="1:5" ht="17.100000000000001" customHeight="1" thickBot="1" x14ac:dyDescent="0.3">
      <c r="A32" s="94"/>
      <c r="B32" s="95"/>
      <c r="C32" s="91"/>
      <c r="D32" s="92"/>
      <c r="E32" s="93"/>
    </row>
    <row r="33" spans="1:5" ht="22.5" customHeight="1" x14ac:dyDescent="0.35">
      <c r="A33" s="96" t="s">
        <v>21</v>
      </c>
      <c r="B33" s="97"/>
      <c r="C33" s="91" t="s">
        <v>22</v>
      </c>
      <c r="D33" s="92"/>
      <c r="E33" s="93"/>
    </row>
    <row r="34" spans="1:5" ht="17.100000000000001" customHeight="1" x14ac:dyDescent="0.25">
      <c r="A34" s="35"/>
      <c r="B34" s="36"/>
      <c r="C34" s="91"/>
      <c r="D34" s="92"/>
      <c r="E34" s="93"/>
    </row>
    <row r="35" spans="1:5" ht="17.100000000000001" customHeight="1" x14ac:dyDescent="0.25">
      <c r="A35" s="40"/>
      <c r="B35" s="36"/>
      <c r="C35" s="91"/>
      <c r="D35" s="92"/>
      <c r="E35" s="93"/>
    </row>
    <row r="36" spans="1:5" ht="16.5" customHeight="1" x14ac:dyDescent="0.25">
      <c r="A36" s="40"/>
      <c r="B36" s="36"/>
      <c r="C36" s="91"/>
      <c r="D36" s="92"/>
      <c r="E36" s="93"/>
    </row>
    <row r="37" spans="1:5" ht="16.5" customHeight="1" x14ac:dyDescent="0.25">
      <c r="A37" s="40"/>
      <c r="B37" s="36"/>
      <c r="C37" s="91"/>
      <c r="D37" s="92"/>
      <c r="E37" s="93"/>
    </row>
    <row r="38" spans="1:5" ht="16.5" customHeight="1" x14ac:dyDescent="0.25">
      <c r="A38" s="40"/>
      <c r="B38" s="36"/>
      <c r="C38" s="91"/>
      <c r="D38" s="92"/>
      <c r="E38" s="93"/>
    </row>
    <row r="39" spans="1:5" ht="16.5" customHeight="1" x14ac:dyDescent="0.25">
      <c r="A39" s="40"/>
      <c r="B39" s="36"/>
      <c r="C39" s="91"/>
      <c r="D39" s="92"/>
      <c r="E39" s="93"/>
    </row>
    <row r="40" spans="1:5" ht="16.5" customHeight="1" x14ac:dyDescent="0.25">
      <c r="A40" s="35"/>
      <c r="B40" s="36"/>
      <c r="C40" s="23"/>
      <c r="D40" s="24"/>
      <c r="E40" s="25"/>
    </row>
    <row r="41" spans="1:5" ht="16.5" customHeight="1" x14ac:dyDescent="0.25">
      <c r="A41" s="35"/>
      <c r="B41" s="36"/>
      <c r="C41" s="91"/>
      <c r="D41" s="92"/>
      <c r="E41" s="93"/>
    </row>
    <row r="42" spans="1:5" ht="16.5" customHeight="1" thickBot="1" x14ac:dyDescent="0.3">
      <c r="A42" s="35"/>
      <c r="B42" s="36"/>
      <c r="C42" s="26"/>
      <c r="D42" s="27"/>
      <c r="E42" s="28"/>
    </row>
    <row r="43" spans="1:5" ht="23.25" customHeight="1" x14ac:dyDescent="0.2">
      <c r="A43" s="35"/>
      <c r="B43" s="36"/>
      <c r="C43" s="88" t="s">
        <v>23</v>
      </c>
      <c r="D43" s="89"/>
      <c r="E43" s="90"/>
    </row>
    <row r="44" spans="1:5" ht="16.5" customHeight="1" x14ac:dyDescent="0.2">
      <c r="A44" s="35"/>
      <c r="B44" s="36"/>
      <c r="C44" s="98" t="s">
        <v>24</v>
      </c>
      <c r="D44" s="99"/>
      <c r="E44" s="100"/>
    </row>
    <row r="45" spans="1:5" ht="16.5" customHeight="1" x14ac:dyDescent="0.2">
      <c r="A45" s="35"/>
      <c r="B45" s="36"/>
      <c r="C45" s="98"/>
      <c r="D45" s="99"/>
      <c r="E45" s="100"/>
    </row>
    <row r="46" spans="1:5" ht="16.5" customHeight="1" x14ac:dyDescent="0.2">
      <c r="A46" s="35"/>
      <c r="B46" s="36"/>
      <c r="C46" s="98"/>
      <c r="D46" s="99"/>
      <c r="E46" s="100"/>
    </row>
    <row r="47" spans="1:5" ht="16.5" customHeight="1" x14ac:dyDescent="0.2">
      <c r="A47" s="35"/>
      <c r="B47" s="36"/>
      <c r="C47" s="98"/>
      <c r="D47" s="99"/>
      <c r="E47" s="100"/>
    </row>
    <row r="48" spans="1:5" ht="16.5" customHeight="1" x14ac:dyDescent="0.2">
      <c r="A48" s="35"/>
      <c r="B48" s="36"/>
      <c r="C48" s="98"/>
      <c r="D48" s="99"/>
      <c r="E48" s="100"/>
    </row>
    <row r="49" spans="1:5" ht="16.5" customHeight="1" x14ac:dyDescent="0.2">
      <c r="A49" s="35"/>
      <c r="B49" s="36"/>
      <c r="C49" s="98"/>
      <c r="D49" s="99"/>
      <c r="E49" s="100"/>
    </row>
    <row r="50" spans="1:5" ht="16.5" customHeight="1" x14ac:dyDescent="0.2">
      <c r="A50" s="35"/>
      <c r="B50" s="36"/>
      <c r="C50" s="98"/>
      <c r="D50" s="99"/>
      <c r="E50" s="100"/>
    </row>
    <row r="51" spans="1:5" ht="16.5" customHeight="1" thickBot="1" x14ac:dyDescent="0.25">
      <c r="A51" s="37"/>
      <c r="B51" s="38"/>
      <c r="C51" s="98"/>
      <c r="D51" s="99"/>
      <c r="E51" s="100"/>
    </row>
    <row r="52" spans="1:5" ht="23.25" x14ac:dyDescent="0.35">
      <c r="A52" s="101" t="s">
        <v>25</v>
      </c>
      <c r="B52" s="102"/>
      <c r="C52" s="103" t="s">
        <v>26</v>
      </c>
      <c r="D52" s="104"/>
      <c r="E52" s="11">
        <f>SUM(E3:E23)</f>
        <v>3.61</v>
      </c>
    </row>
    <row r="53" spans="1:5" ht="18.75" customHeight="1" x14ac:dyDescent="0.25">
      <c r="A53" s="105" t="s">
        <v>27</v>
      </c>
      <c r="B53" s="106"/>
      <c r="C53" s="107" t="s">
        <v>28</v>
      </c>
      <c r="D53" s="108"/>
      <c r="E53" s="29">
        <v>1</v>
      </c>
    </row>
    <row r="54" spans="1:5" ht="18.75" customHeight="1" x14ac:dyDescent="0.25">
      <c r="A54" s="105" t="s">
        <v>29</v>
      </c>
      <c r="B54" s="106"/>
      <c r="C54" s="107" t="s">
        <v>30</v>
      </c>
      <c r="D54" s="108"/>
      <c r="E54" s="7">
        <f>SUM(E52/E53)</f>
        <v>3.61</v>
      </c>
    </row>
    <row r="55" spans="1:5" ht="18.75" customHeight="1" x14ac:dyDescent="0.25">
      <c r="A55" s="105" t="s">
        <v>31</v>
      </c>
      <c r="B55" s="106"/>
      <c r="C55" s="107" t="s">
        <v>32</v>
      </c>
      <c r="D55" s="108"/>
      <c r="E55" s="30">
        <v>0.06</v>
      </c>
    </row>
    <row r="56" spans="1:5" ht="18.75" customHeight="1" x14ac:dyDescent="0.25">
      <c r="A56" s="105" t="s">
        <v>33</v>
      </c>
      <c r="B56" s="106"/>
      <c r="C56" s="107" t="s">
        <v>5</v>
      </c>
      <c r="D56" s="108"/>
      <c r="E56" s="7">
        <f>(+E54*E55)+E54</f>
        <v>3.8266</v>
      </c>
    </row>
    <row r="57" spans="1:5" ht="18.75" customHeight="1" x14ac:dyDescent="0.25">
      <c r="A57" s="105" t="s">
        <v>34</v>
      </c>
      <c r="B57" s="106"/>
      <c r="C57" s="107" t="s">
        <v>35</v>
      </c>
      <c r="D57" s="108"/>
      <c r="E57" s="31">
        <v>9</v>
      </c>
    </row>
    <row r="58" spans="1:5" ht="18.75" customHeight="1" thickBot="1" x14ac:dyDescent="0.3">
      <c r="A58" s="109" t="s">
        <v>36</v>
      </c>
      <c r="B58" s="110"/>
      <c r="C58" s="111" t="s">
        <v>37</v>
      </c>
      <c r="D58" s="112"/>
      <c r="E58" s="12">
        <f>SUM(E56/E57)</f>
        <v>0.42517777777777777</v>
      </c>
    </row>
    <row r="59" spans="1:5" ht="19.5" customHeight="1" x14ac:dyDescent="0.2"/>
  </sheetData>
  <mergeCells count="50">
    <mergeCell ref="A58:B58"/>
    <mergeCell ref="C58:D58"/>
    <mergeCell ref="A55:B55"/>
    <mergeCell ref="C55:D55"/>
    <mergeCell ref="A56:B56"/>
    <mergeCell ref="C56:D56"/>
    <mergeCell ref="A57:B57"/>
    <mergeCell ref="C57:D57"/>
    <mergeCell ref="A52:B52"/>
    <mergeCell ref="C52:D52"/>
    <mergeCell ref="A53:B53"/>
    <mergeCell ref="C53:D53"/>
    <mergeCell ref="A54:B54"/>
    <mergeCell ref="C54:D54"/>
    <mergeCell ref="C51:E51"/>
    <mergeCell ref="C38:E38"/>
    <mergeCell ref="C39:E39"/>
    <mergeCell ref="C41:E41"/>
    <mergeCell ref="C43:E43"/>
    <mergeCell ref="C44:E44"/>
    <mergeCell ref="C45:E45"/>
    <mergeCell ref="C46:E46"/>
    <mergeCell ref="C47:E47"/>
    <mergeCell ref="C48:E48"/>
    <mergeCell ref="C49:E49"/>
    <mergeCell ref="C50:E50"/>
    <mergeCell ref="C37:E37"/>
    <mergeCell ref="A30:B30"/>
    <mergeCell ref="C30:E30"/>
    <mergeCell ref="A31:B31"/>
    <mergeCell ref="C31:E31"/>
    <mergeCell ref="A32:B32"/>
    <mergeCell ref="C32:E32"/>
    <mergeCell ref="A33:B33"/>
    <mergeCell ref="C33:E33"/>
    <mergeCell ref="C34:E34"/>
    <mergeCell ref="C35:E35"/>
    <mergeCell ref="C36:E36"/>
    <mergeCell ref="A27:B27"/>
    <mergeCell ref="C27:E27"/>
    <mergeCell ref="A28:B28"/>
    <mergeCell ref="C28:E28"/>
    <mergeCell ref="A29:B29"/>
    <mergeCell ref="C29:E29"/>
    <mergeCell ref="B1:E1"/>
    <mergeCell ref="A24:B24"/>
    <mergeCell ref="C24:D24"/>
    <mergeCell ref="C25:D25"/>
    <mergeCell ref="A26:B26"/>
    <mergeCell ref="C26:D26"/>
  </mergeCells>
  <printOptions horizontalCentered="1" verticalCentered="1"/>
  <pageMargins left="0" right="0" top="0.25" bottom="0.25" header="0.5" footer="0.5"/>
  <pageSetup scale="66"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D9CAE-5622-4117-A9D9-EA1766070D04}">
  <sheetPr codeName="Sheet2">
    <tabColor rgb="FF0000FF"/>
    <pageSetUpPr fitToPage="1"/>
  </sheetPr>
  <dimension ref="A1:E59"/>
  <sheetViews>
    <sheetView tabSelected="1" zoomScale="75" zoomScaleNormal="75" workbookViewId="0">
      <selection activeCell="B1" sqref="B1:E1"/>
    </sheetView>
  </sheetViews>
  <sheetFormatPr defaultColWidth="9.5546875" defaultRowHeight="15" x14ac:dyDescent="0.2"/>
  <cols>
    <col min="1" max="1" width="58.6640625" style="67" customWidth="1"/>
    <col min="2" max="2" width="21.77734375" customWidth="1"/>
    <col min="3" max="5" width="16.77734375" customWidth="1"/>
  </cols>
  <sheetData>
    <row r="1" spans="1:5" ht="30" x14ac:dyDescent="0.4">
      <c r="A1" s="46" t="s">
        <v>79</v>
      </c>
      <c r="B1" s="136" t="s">
        <v>80</v>
      </c>
      <c r="C1" s="137"/>
      <c r="D1" s="137"/>
      <c r="E1" s="138"/>
    </row>
    <row r="2" spans="1:5" s="48" customFormat="1" ht="23.25" x14ac:dyDescent="0.35">
      <c r="A2" s="47" t="s">
        <v>1</v>
      </c>
      <c r="B2" s="2" t="s">
        <v>2</v>
      </c>
      <c r="C2" s="2" t="s">
        <v>3</v>
      </c>
      <c r="D2" s="2" t="s">
        <v>4</v>
      </c>
      <c r="E2" s="3" t="s">
        <v>5</v>
      </c>
    </row>
    <row r="3" spans="1:5" ht="19.5" customHeight="1" x14ac:dyDescent="0.25">
      <c r="A3" s="49" t="s">
        <v>38</v>
      </c>
      <c r="B3" s="42">
        <v>10</v>
      </c>
      <c r="C3" s="50" t="s">
        <v>39</v>
      </c>
      <c r="D3" s="44">
        <v>3.32</v>
      </c>
      <c r="E3" s="5">
        <v>33.200000000000003</v>
      </c>
    </row>
    <row r="4" spans="1:5" ht="19.5" customHeight="1" x14ac:dyDescent="0.25">
      <c r="A4" s="49" t="s">
        <v>40</v>
      </c>
      <c r="B4" s="42">
        <v>2.5</v>
      </c>
      <c r="C4" s="50" t="s">
        <v>39</v>
      </c>
      <c r="D4" s="44">
        <v>4.5</v>
      </c>
      <c r="E4" s="5">
        <v>11.25</v>
      </c>
    </row>
    <row r="5" spans="1:5" ht="19.5" customHeight="1" x14ac:dyDescent="0.25">
      <c r="A5" s="49" t="s">
        <v>41</v>
      </c>
      <c r="B5" s="42">
        <v>20</v>
      </c>
      <c r="C5" s="50" t="s">
        <v>9</v>
      </c>
      <c r="D5" s="44">
        <v>0.08</v>
      </c>
      <c r="E5" s="5">
        <v>1.6</v>
      </c>
    </row>
    <row r="6" spans="1:5" ht="19.5" customHeight="1" x14ac:dyDescent="0.25">
      <c r="A6" s="49" t="s">
        <v>42</v>
      </c>
      <c r="B6" s="42">
        <v>7</v>
      </c>
      <c r="C6" s="50" t="s">
        <v>7</v>
      </c>
      <c r="D6" s="44">
        <v>0.15</v>
      </c>
      <c r="E6" s="5">
        <v>1.05</v>
      </c>
    </row>
    <row r="7" spans="1:5" ht="19.5" customHeight="1" x14ac:dyDescent="0.25">
      <c r="A7" s="49" t="s">
        <v>43</v>
      </c>
      <c r="B7" s="42">
        <v>0.25</v>
      </c>
      <c r="C7" s="50" t="s">
        <v>44</v>
      </c>
      <c r="D7" s="44">
        <v>1.43</v>
      </c>
      <c r="E7" s="5">
        <v>0.36</v>
      </c>
    </row>
    <row r="8" spans="1:5" ht="19.5" customHeight="1" x14ac:dyDescent="0.25">
      <c r="A8" s="49" t="s">
        <v>45</v>
      </c>
      <c r="B8" s="42">
        <v>0.25</v>
      </c>
      <c r="C8" s="50" t="s">
        <v>44</v>
      </c>
      <c r="D8" s="44">
        <v>2.33</v>
      </c>
      <c r="E8" s="5">
        <v>0.57999999999999996</v>
      </c>
    </row>
    <row r="9" spans="1:5" ht="19.5" customHeight="1" x14ac:dyDescent="0.25">
      <c r="A9" s="49" t="s">
        <v>46</v>
      </c>
      <c r="B9" s="42">
        <v>0.25</v>
      </c>
      <c r="C9" s="50" t="s">
        <v>44</v>
      </c>
      <c r="D9" s="44">
        <v>1.98</v>
      </c>
      <c r="E9" s="5">
        <v>0.5</v>
      </c>
    </row>
    <row r="10" spans="1:5" ht="19.5" customHeight="1" x14ac:dyDescent="0.25">
      <c r="A10" s="49" t="s">
        <v>47</v>
      </c>
      <c r="B10" s="42">
        <v>0.5</v>
      </c>
      <c r="C10" s="50" t="s">
        <v>44</v>
      </c>
      <c r="D10" s="44">
        <v>2.69</v>
      </c>
      <c r="E10" s="5">
        <v>1.35</v>
      </c>
    </row>
    <row r="11" spans="1:5" ht="19.5" customHeight="1" x14ac:dyDescent="0.25">
      <c r="A11" s="49" t="s">
        <v>48</v>
      </c>
      <c r="B11" s="42">
        <v>1.5</v>
      </c>
      <c r="C11" s="50" t="s">
        <v>44</v>
      </c>
      <c r="D11" s="44">
        <v>1.49</v>
      </c>
      <c r="E11" s="5">
        <v>2.2400000000000002</v>
      </c>
    </row>
    <row r="12" spans="1:5" ht="19.5" customHeight="1" x14ac:dyDescent="0.25">
      <c r="A12" s="49"/>
      <c r="B12" s="42"/>
      <c r="C12" s="50"/>
      <c r="D12" s="44"/>
      <c r="E12" s="5"/>
    </row>
    <row r="13" spans="1:5" ht="19.5" customHeight="1" x14ac:dyDescent="0.25">
      <c r="A13" s="51"/>
      <c r="B13" s="17"/>
      <c r="C13" s="17"/>
      <c r="D13" s="16"/>
      <c r="E13" s="5"/>
    </row>
    <row r="14" spans="1:5" ht="19.5" customHeight="1" x14ac:dyDescent="0.25">
      <c r="A14" s="51"/>
      <c r="B14" s="17"/>
      <c r="C14" s="17"/>
      <c r="D14" s="16"/>
      <c r="E14" s="5"/>
    </row>
    <row r="15" spans="1:5" ht="19.5" customHeight="1" x14ac:dyDescent="0.25">
      <c r="A15" s="51"/>
      <c r="B15" s="17"/>
      <c r="C15" s="17"/>
      <c r="D15" s="16"/>
      <c r="E15" s="5"/>
    </row>
    <row r="16" spans="1:5" ht="19.5" customHeight="1" x14ac:dyDescent="0.25">
      <c r="A16" s="51"/>
      <c r="B16" s="17"/>
      <c r="C16" s="17"/>
      <c r="D16" s="16"/>
      <c r="E16" s="5"/>
    </row>
    <row r="17" spans="1:5" ht="19.5" customHeight="1" x14ac:dyDescent="0.25">
      <c r="A17" s="51"/>
      <c r="B17" s="17"/>
      <c r="C17" s="17"/>
      <c r="D17" s="16"/>
      <c r="E17" s="5"/>
    </row>
    <row r="18" spans="1:5" ht="19.5" customHeight="1" x14ac:dyDescent="0.25">
      <c r="A18" s="51"/>
      <c r="B18" s="17"/>
      <c r="C18" s="17"/>
      <c r="D18" s="16"/>
      <c r="E18" s="5"/>
    </row>
    <row r="19" spans="1:5" ht="19.5" customHeight="1" x14ac:dyDescent="0.25">
      <c r="A19" s="51"/>
      <c r="B19" s="17"/>
      <c r="C19" s="17"/>
      <c r="D19" s="16"/>
      <c r="E19" s="5"/>
    </row>
    <row r="20" spans="1:5" ht="19.5" customHeight="1" x14ac:dyDescent="0.25">
      <c r="A20" s="51"/>
      <c r="B20" s="17"/>
      <c r="C20" s="17"/>
      <c r="D20" s="16"/>
      <c r="E20" s="5"/>
    </row>
    <row r="21" spans="1:5" ht="19.5" customHeight="1" x14ac:dyDescent="0.25">
      <c r="A21" s="51"/>
      <c r="B21" s="17"/>
      <c r="C21" s="17"/>
      <c r="D21" s="16"/>
      <c r="E21" s="5"/>
    </row>
    <row r="22" spans="1:5" ht="19.5" customHeight="1" x14ac:dyDescent="0.25">
      <c r="A22" s="51"/>
      <c r="B22" s="17"/>
      <c r="C22" s="17"/>
      <c r="D22" s="16"/>
      <c r="E22" s="5"/>
    </row>
    <row r="23" spans="1:5" ht="19.5" customHeight="1" x14ac:dyDescent="0.25">
      <c r="A23" s="52"/>
      <c r="B23" s="19"/>
      <c r="C23" s="19"/>
      <c r="D23" s="21"/>
      <c r="E23" s="6"/>
    </row>
    <row r="24" spans="1:5" ht="17.25" customHeight="1" x14ac:dyDescent="0.35">
      <c r="A24" s="139" t="s">
        <v>10</v>
      </c>
      <c r="B24" s="140"/>
      <c r="C24" s="78" t="s">
        <v>11</v>
      </c>
      <c r="D24" s="79"/>
      <c r="E24" s="45">
        <v>12.5</v>
      </c>
    </row>
    <row r="25" spans="1:5" ht="231" customHeight="1" x14ac:dyDescent="0.35">
      <c r="A25" s="53" t="s">
        <v>49</v>
      </c>
      <c r="B25" s="54"/>
      <c r="C25" s="141" t="s">
        <v>13</v>
      </c>
      <c r="D25" s="142"/>
      <c r="E25" s="55" t="s">
        <v>39</v>
      </c>
    </row>
    <row r="26" spans="1:5" ht="21" customHeight="1" x14ac:dyDescent="0.35">
      <c r="A26" s="132"/>
      <c r="B26" s="83"/>
      <c r="C26" s="143" t="s">
        <v>15</v>
      </c>
      <c r="D26" s="144"/>
      <c r="E26" s="56" t="s">
        <v>16</v>
      </c>
    </row>
    <row r="27" spans="1:5" ht="23.25" x14ac:dyDescent="0.2">
      <c r="A27" s="130"/>
      <c r="B27" s="131"/>
      <c r="C27" s="127" t="s">
        <v>17</v>
      </c>
      <c r="D27" s="128"/>
      <c r="E27" s="129"/>
    </row>
    <row r="28" spans="1:5" ht="27.75" customHeight="1" x14ac:dyDescent="0.25">
      <c r="A28" s="132"/>
      <c r="B28" s="83"/>
      <c r="C28" s="124" t="s">
        <v>18</v>
      </c>
      <c r="D28" s="125"/>
      <c r="E28" s="126"/>
    </row>
    <row r="29" spans="1:5" ht="18" customHeight="1" x14ac:dyDescent="0.25">
      <c r="A29" s="132"/>
      <c r="B29" s="83"/>
      <c r="C29" s="124" t="s">
        <v>19</v>
      </c>
      <c r="D29" s="125"/>
      <c r="E29" s="126"/>
    </row>
    <row r="30" spans="1:5" ht="18" x14ac:dyDescent="0.25">
      <c r="A30" s="130"/>
      <c r="B30" s="131"/>
      <c r="C30" s="124" t="s">
        <v>20</v>
      </c>
      <c r="D30" s="125"/>
      <c r="E30" s="126"/>
    </row>
    <row r="31" spans="1:5" ht="17.100000000000001" customHeight="1" x14ac:dyDescent="0.25">
      <c r="A31" s="132"/>
      <c r="B31" s="83"/>
      <c r="C31" s="124"/>
      <c r="D31" s="125"/>
      <c r="E31" s="126"/>
    </row>
    <row r="32" spans="1:5" ht="17.100000000000001" customHeight="1" x14ac:dyDescent="0.25">
      <c r="A32" s="133"/>
      <c r="B32" s="95"/>
      <c r="C32" s="124"/>
      <c r="D32" s="125"/>
      <c r="E32" s="126"/>
    </row>
    <row r="33" spans="1:5" ht="22.5" customHeight="1" x14ac:dyDescent="0.35">
      <c r="A33" s="134" t="s">
        <v>21</v>
      </c>
      <c r="B33" s="135"/>
      <c r="C33" s="124" t="s">
        <v>22</v>
      </c>
      <c r="D33" s="125"/>
      <c r="E33" s="126"/>
    </row>
    <row r="34" spans="1:5" ht="17.100000000000001" customHeight="1" x14ac:dyDescent="0.25">
      <c r="A34" s="60"/>
      <c r="B34" s="61"/>
      <c r="C34" s="124"/>
      <c r="D34" s="125"/>
      <c r="E34" s="126"/>
    </row>
    <row r="35" spans="1:5" ht="17.100000000000001" customHeight="1" x14ac:dyDescent="0.25">
      <c r="A35" s="40"/>
      <c r="B35" s="61"/>
      <c r="C35" s="124"/>
      <c r="D35" s="125"/>
      <c r="E35" s="126"/>
    </row>
    <row r="36" spans="1:5" ht="16.5" customHeight="1" x14ac:dyDescent="0.25">
      <c r="A36" s="40"/>
      <c r="B36" s="61"/>
      <c r="C36" s="124"/>
      <c r="D36" s="125"/>
      <c r="E36" s="126"/>
    </row>
    <row r="37" spans="1:5" ht="16.5" customHeight="1" x14ac:dyDescent="0.25">
      <c r="A37" s="40"/>
      <c r="B37" s="61"/>
      <c r="C37" s="124"/>
      <c r="D37" s="125"/>
      <c r="E37" s="126"/>
    </row>
    <row r="38" spans="1:5" ht="16.5" customHeight="1" x14ac:dyDescent="0.25">
      <c r="A38" s="40"/>
      <c r="B38" s="61"/>
      <c r="C38" s="124"/>
      <c r="D38" s="125"/>
      <c r="E38" s="126"/>
    </row>
    <row r="39" spans="1:5" ht="16.5" customHeight="1" x14ac:dyDescent="0.25">
      <c r="A39" s="40"/>
      <c r="B39" s="61"/>
      <c r="C39" s="124"/>
      <c r="D39" s="125"/>
      <c r="E39" s="126"/>
    </row>
    <row r="40" spans="1:5" ht="16.5" customHeight="1" x14ac:dyDescent="0.25">
      <c r="A40" s="60"/>
      <c r="B40" s="61"/>
      <c r="C40" s="57"/>
      <c r="D40" s="58"/>
      <c r="E40" s="59"/>
    </row>
    <row r="41" spans="1:5" ht="16.5" customHeight="1" x14ac:dyDescent="0.25">
      <c r="A41" s="60"/>
      <c r="B41" s="61"/>
      <c r="C41" s="124"/>
      <c r="D41" s="125"/>
      <c r="E41" s="126"/>
    </row>
    <row r="42" spans="1:5" ht="16.5" customHeight="1" x14ac:dyDescent="0.25">
      <c r="A42" s="60"/>
      <c r="B42" s="61"/>
      <c r="C42" s="62"/>
      <c r="D42" s="63"/>
      <c r="E42" s="64"/>
    </row>
    <row r="43" spans="1:5" ht="23.25" customHeight="1" x14ac:dyDescent="0.2">
      <c r="A43" s="60"/>
      <c r="B43" s="61"/>
      <c r="C43" s="127" t="s">
        <v>23</v>
      </c>
      <c r="D43" s="128"/>
      <c r="E43" s="129"/>
    </row>
    <row r="44" spans="1:5" ht="16.5" customHeight="1" x14ac:dyDescent="0.2">
      <c r="A44" s="60"/>
      <c r="B44" s="61"/>
      <c r="C44" s="121" t="s">
        <v>24</v>
      </c>
      <c r="D44" s="122"/>
      <c r="E44" s="123"/>
    </row>
    <row r="45" spans="1:5" ht="16.5" customHeight="1" x14ac:dyDescent="0.2">
      <c r="A45" s="60"/>
      <c r="B45" s="61"/>
      <c r="C45" s="121"/>
      <c r="D45" s="122"/>
      <c r="E45" s="123"/>
    </row>
    <row r="46" spans="1:5" ht="16.5" customHeight="1" x14ac:dyDescent="0.2">
      <c r="A46" s="60"/>
      <c r="B46" s="61"/>
      <c r="C46" s="121"/>
      <c r="D46" s="122"/>
      <c r="E46" s="123"/>
    </row>
    <row r="47" spans="1:5" ht="16.5" customHeight="1" x14ac:dyDescent="0.2">
      <c r="A47" s="60"/>
      <c r="B47" s="61"/>
      <c r="C47" s="121"/>
      <c r="D47" s="122"/>
      <c r="E47" s="123"/>
    </row>
    <row r="48" spans="1:5" ht="16.5" customHeight="1" x14ac:dyDescent="0.2">
      <c r="A48" s="60"/>
      <c r="B48" s="61"/>
      <c r="C48" s="121"/>
      <c r="D48" s="122"/>
      <c r="E48" s="123"/>
    </row>
    <row r="49" spans="1:5" ht="16.5" customHeight="1" x14ac:dyDescent="0.2">
      <c r="A49" s="60"/>
      <c r="B49" s="61"/>
      <c r="C49" s="121"/>
      <c r="D49" s="122"/>
      <c r="E49" s="123"/>
    </row>
    <row r="50" spans="1:5" ht="16.5" customHeight="1" x14ac:dyDescent="0.2">
      <c r="A50" s="60"/>
      <c r="B50" s="61"/>
      <c r="C50" s="121"/>
      <c r="D50" s="122"/>
      <c r="E50" s="123"/>
    </row>
    <row r="51" spans="1:5" ht="16.5" customHeight="1" x14ac:dyDescent="0.2">
      <c r="A51" s="65"/>
      <c r="B51" s="66"/>
      <c r="C51" s="121"/>
      <c r="D51" s="122"/>
      <c r="E51" s="123"/>
    </row>
    <row r="52" spans="1:5" ht="23.25" x14ac:dyDescent="0.35">
      <c r="A52" s="119" t="s">
        <v>25</v>
      </c>
      <c r="B52" s="120"/>
      <c r="C52" s="103" t="s">
        <v>26</v>
      </c>
      <c r="D52" s="104"/>
      <c r="E52" s="11">
        <f>SUM(E3:E23)</f>
        <v>52.13</v>
      </c>
    </row>
    <row r="53" spans="1:5" ht="18.75" customHeight="1" x14ac:dyDescent="0.25">
      <c r="A53" s="117" t="s">
        <v>27</v>
      </c>
      <c r="B53" s="118"/>
      <c r="C53" s="107" t="s">
        <v>28</v>
      </c>
      <c r="D53" s="108"/>
      <c r="E53" s="29">
        <v>80</v>
      </c>
    </row>
    <row r="54" spans="1:5" ht="18.75" customHeight="1" x14ac:dyDescent="0.25">
      <c r="A54" s="117" t="s">
        <v>29</v>
      </c>
      <c r="B54" s="118"/>
      <c r="C54" s="107" t="s">
        <v>30</v>
      </c>
      <c r="D54" s="108"/>
      <c r="E54" s="7">
        <f>SUM(E52/E53)</f>
        <v>0.65162500000000001</v>
      </c>
    </row>
    <row r="55" spans="1:5" ht="18.75" customHeight="1" x14ac:dyDescent="0.25">
      <c r="A55" s="117" t="s">
        <v>31</v>
      </c>
      <c r="B55" s="118"/>
      <c r="C55" s="107" t="s">
        <v>32</v>
      </c>
      <c r="D55" s="108"/>
      <c r="E55" s="30"/>
    </row>
    <row r="56" spans="1:5" ht="18.75" customHeight="1" x14ac:dyDescent="0.25">
      <c r="A56" s="117" t="s">
        <v>33</v>
      </c>
      <c r="B56" s="118"/>
      <c r="C56" s="107" t="s">
        <v>5</v>
      </c>
      <c r="D56" s="108"/>
      <c r="E56" s="7">
        <f>(+E54*E55)+E54</f>
        <v>0.65162500000000001</v>
      </c>
    </row>
    <row r="57" spans="1:5" ht="18.75" customHeight="1" x14ac:dyDescent="0.25">
      <c r="A57" s="117" t="s">
        <v>34</v>
      </c>
      <c r="B57" s="118"/>
      <c r="C57" s="107" t="s">
        <v>35</v>
      </c>
      <c r="D57" s="108"/>
      <c r="E57" s="31"/>
    </row>
    <row r="58" spans="1:5" ht="18.75" customHeight="1" x14ac:dyDescent="0.25">
      <c r="A58" s="113" t="s">
        <v>36</v>
      </c>
      <c r="B58" s="114"/>
      <c r="C58" s="115" t="s">
        <v>37</v>
      </c>
      <c r="D58" s="116"/>
      <c r="E58" s="12" t="e">
        <f>SUM(E56/E57)</f>
        <v>#DIV/0!</v>
      </c>
    </row>
    <row r="59" spans="1:5" ht="19.5" customHeight="1" x14ac:dyDescent="0.2"/>
  </sheetData>
  <mergeCells count="50">
    <mergeCell ref="B1:E1"/>
    <mergeCell ref="A24:B24"/>
    <mergeCell ref="C24:D24"/>
    <mergeCell ref="C25:D25"/>
    <mergeCell ref="A26:B26"/>
    <mergeCell ref="C26:D26"/>
    <mergeCell ref="A27:B27"/>
    <mergeCell ref="C27:E27"/>
    <mergeCell ref="A28:B28"/>
    <mergeCell ref="C28:E28"/>
    <mergeCell ref="A29:B29"/>
    <mergeCell ref="C29:E29"/>
    <mergeCell ref="C37:E37"/>
    <mergeCell ref="A30:B30"/>
    <mergeCell ref="C30:E30"/>
    <mergeCell ref="A31:B31"/>
    <mergeCell ref="C31:E31"/>
    <mergeCell ref="A32:B32"/>
    <mergeCell ref="C32:E32"/>
    <mergeCell ref="A33:B33"/>
    <mergeCell ref="C33:E33"/>
    <mergeCell ref="C34:E34"/>
    <mergeCell ref="C35:E35"/>
    <mergeCell ref="C36:E36"/>
    <mergeCell ref="C51:E51"/>
    <mergeCell ref="C38:E38"/>
    <mergeCell ref="C39:E39"/>
    <mergeCell ref="C41:E41"/>
    <mergeCell ref="C43:E43"/>
    <mergeCell ref="C44:E44"/>
    <mergeCell ref="C45:E45"/>
    <mergeCell ref="C46:E46"/>
    <mergeCell ref="C47:E47"/>
    <mergeCell ref="C48:E48"/>
    <mergeCell ref="C49:E49"/>
    <mergeCell ref="C50:E50"/>
    <mergeCell ref="A52:B52"/>
    <mergeCell ref="C52:D52"/>
    <mergeCell ref="A53:B53"/>
    <mergeCell ref="C53:D53"/>
    <mergeCell ref="A54:B54"/>
    <mergeCell ref="C54:D54"/>
    <mergeCell ref="A58:B58"/>
    <mergeCell ref="C58:D58"/>
    <mergeCell ref="A55:B55"/>
    <mergeCell ref="C55:D55"/>
    <mergeCell ref="A56:B56"/>
    <mergeCell ref="C56:D56"/>
    <mergeCell ref="A57:B57"/>
    <mergeCell ref="C57:D57"/>
  </mergeCells>
  <phoneticPr fontId="1" type="noConversion"/>
  <printOptions horizontalCentered="1" verticalCentered="1"/>
  <pageMargins left="0" right="0" top="0.25" bottom="0.25" header="0.5" footer="0.5"/>
  <pageSetup scale="66" fitToHeight="0"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4B89D-93BD-4B3E-B45F-F690235FFED3}">
  <sheetPr codeName="Sheet3">
    <tabColor rgb="FF0000FF"/>
    <pageSetUpPr fitToPage="1"/>
  </sheetPr>
  <dimension ref="A1:E59"/>
  <sheetViews>
    <sheetView topLeftCell="A23" zoomScale="80" zoomScaleNormal="80" workbookViewId="0"/>
  </sheetViews>
  <sheetFormatPr defaultColWidth="9.5546875" defaultRowHeight="15" x14ac:dyDescent="0.2"/>
  <cols>
    <col min="1" max="1" width="58.6640625" style="71" customWidth="1"/>
    <col min="2" max="2" width="21.77734375" style="72" customWidth="1"/>
    <col min="3" max="5" width="16.77734375" style="72" customWidth="1"/>
  </cols>
  <sheetData>
    <row r="1" spans="1:5" ht="30" x14ac:dyDescent="0.4">
      <c r="A1" s="68" t="s">
        <v>79</v>
      </c>
      <c r="B1" s="145" t="s">
        <v>50</v>
      </c>
      <c r="C1" s="145"/>
      <c r="D1" s="145"/>
      <c r="E1" s="145"/>
    </row>
    <row r="2" spans="1:5" s="48" customFormat="1" ht="23.25" x14ac:dyDescent="0.35">
      <c r="A2" s="69" t="s">
        <v>1</v>
      </c>
      <c r="B2" s="70" t="s">
        <v>2</v>
      </c>
      <c r="C2" s="70" t="s">
        <v>3</v>
      </c>
      <c r="D2" s="70" t="s">
        <v>4</v>
      </c>
      <c r="E2" s="70" t="s">
        <v>5</v>
      </c>
    </row>
    <row r="3" spans="1:5" ht="19.5" customHeight="1" x14ac:dyDescent="0.25">
      <c r="A3" s="49" t="s">
        <v>51</v>
      </c>
      <c r="B3" s="42">
        <v>12</v>
      </c>
      <c r="C3" s="50" t="s">
        <v>52</v>
      </c>
      <c r="D3" s="44">
        <v>1.5</v>
      </c>
      <c r="E3" s="5">
        <v>18</v>
      </c>
    </row>
    <row r="4" spans="1:5" ht="19.5" customHeight="1" x14ac:dyDescent="0.25">
      <c r="A4" s="49" t="s">
        <v>53</v>
      </c>
      <c r="B4" s="42">
        <v>12</v>
      </c>
      <c r="C4" s="50" t="s">
        <v>52</v>
      </c>
      <c r="D4" s="44">
        <v>0.48</v>
      </c>
      <c r="E4" s="5">
        <v>5.76</v>
      </c>
    </row>
    <row r="5" spans="1:5" ht="19.5" customHeight="1" x14ac:dyDescent="0.25">
      <c r="A5" s="49" t="s">
        <v>54</v>
      </c>
      <c r="B5" s="42">
        <v>6</v>
      </c>
      <c r="C5" s="50" t="s">
        <v>52</v>
      </c>
      <c r="D5" s="44">
        <v>0.72</v>
      </c>
      <c r="E5" s="5">
        <v>4.32</v>
      </c>
    </row>
    <row r="6" spans="1:5" ht="19.5" customHeight="1" x14ac:dyDescent="0.25">
      <c r="A6" s="49" t="s">
        <v>55</v>
      </c>
      <c r="B6" s="42">
        <v>7</v>
      </c>
      <c r="C6" s="50" t="s">
        <v>52</v>
      </c>
      <c r="D6" s="44">
        <v>1.43</v>
      </c>
      <c r="E6" s="5">
        <v>10.01</v>
      </c>
    </row>
    <row r="7" spans="1:5" ht="19.5" customHeight="1" x14ac:dyDescent="0.25">
      <c r="A7" s="49" t="s">
        <v>56</v>
      </c>
      <c r="B7" s="42">
        <v>2.5</v>
      </c>
      <c r="C7" s="50" t="s">
        <v>52</v>
      </c>
      <c r="D7" s="44">
        <v>0.88</v>
      </c>
      <c r="E7" s="5">
        <v>2.2000000000000002</v>
      </c>
    </row>
    <row r="8" spans="1:5" ht="19.5" customHeight="1" x14ac:dyDescent="0.25">
      <c r="A8" s="49" t="s">
        <v>57</v>
      </c>
      <c r="B8" s="42">
        <v>1.5</v>
      </c>
      <c r="C8" s="50" t="s">
        <v>52</v>
      </c>
      <c r="D8" s="44">
        <v>1.28</v>
      </c>
      <c r="E8" s="5">
        <v>1.92</v>
      </c>
    </row>
    <row r="9" spans="1:5" ht="19.5" customHeight="1" x14ac:dyDescent="0.25">
      <c r="A9" s="49" t="s">
        <v>58</v>
      </c>
      <c r="B9" s="42">
        <v>1.5</v>
      </c>
      <c r="C9" s="50" t="s">
        <v>52</v>
      </c>
      <c r="D9" s="44">
        <v>0.88</v>
      </c>
      <c r="E9" s="5">
        <v>1.32</v>
      </c>
    </row>
    <row r="10" spans="1:5" ht="19.5" customHeight="1" x14ac:dyDescent="0.25">
      <c r="A10" s="49" t="s">
        <v>59</v>
      </c>
      <c r="B10" s="42">
        <v>2</v>
      </c>
      <c r="C10" s="50" t="s">
        <v>60</v>
      </c>
      <c r="D10" s="44">
        <v>0.36</v>
      </c>
      <c r="E10" s="5">
        <v>0.72</v>
      </c>
    </row>
    <row r="11" spans="1:5" ht="19.5" customHeight="1" x14ac:dyDescent="0.25">
      <c r="A11" s="49" t="s">
        <v>61</v>
      </c>
      <c r="B11" s="42">
        <v>2</v>
      </c>
      <c r="C11" s="50" t="s">
        <v>60</v>
      </c>
      <c r="D11" s="44">
        <v>0.11</v>
      </c>
      <c r="E11" s="5">
        <v>0.22</v>
      </c>
    </row>
    <row r="12" spans="1:5" ht="19.5" customHeight="1" x14ac:dyDescent="0.25">
      <c r="A12" s="49" t="s">
        <v>62</v>
      </c>
      <c r="B12" s="42">
        <v>1</v>
      </c>
      <c r="C12" s="50" t="s">
        <v>60</v>
      </c>
      <c r="D12" s="44">
        <v>0.46</v>
      </c>
      <c r="E12" s="5">
        <v>0.46</v>
      </c>
    </row>
    <row r="13" spans="1:5" ht="19.5" customHeight="1" x14ac:dyDescent="0.25">
      <c r="A13" s="51" t="s">
        <v>63</v>
      </c>
      <c r="B13" s="14">
        <v>1</v>
      </c>
      <c r="C13" s="17" t="s">
        <v>60</v>
      </c>
      <c r="D13" s="16">
        <v>0.3</v>
      </c>
      <c r="E13" s="5">
        <v>0.3</v>
      </c>
    </row>
    <row r="14" spans="1:5" ht="19.5" customHeight="1" x14ac:dyDescent="0.25">
      <c r="A14" s="51" t="s">
        <v>64</v>
      </c>
      <c r="B14" s="17" t="s">
        <v>65</v>
      </c>
      <c r="C14" s="17"/>
      <c r="D14" s="16"/>
      <c r="E14" s="5"/>
    </row>
    <row r="15" spans="1:5" ht="19.5" customHeight="1" x14ac:dyDescent="0.25">
      <c r="A15" s="51"/>
      <c r="B15" s="17"/>
      <c r="C15" s="17"/>
      <c r="D15" s="16"/>
      <c r="E15" s="5"/>
    </row>
    <row r="16" spans="1:5" ht="19.5" customHeight="1" x14ac:dyDescent="0.25">
      <c r="A16" s="51"/>
      <c r="B16" s="17"/>
      <c r="C16" s="17"/>
      <c r="D16" s="16"/>
      <c r="E16" s="5"/>
    </row>
    <row r="17" spans="1:5" ht="19.5" customHeight="1" x14ac:dyDescent="0.25">
      <c r="A17" s="51"/>
      <c r="B17" s="17"/>
      <c r="C17" s="17"/>
      <c r="D17" s="16"/>
      <c r="E17" s="5"/>
    </row>
    <row r="18" spans="1:5" ht="19.5" customHeight="1" x14ac:dyDescent="0.25">
      <c r="A18" s="51"/>
      <c r="B18" s="17"/>
      <c r="C18" s="17"/>
      <c r="D18" s="16"/>
      <c r="E18" s="5"/>
    </row>
    <row r="19" spans="1:5" ht="19.5" customHeight="1" x14ac:dyDescent="0.25">
      <c r="A19" s="51"/>
      <c r="B19" s="17"/>
      <c r="C19" s="17"/>
      <c r="D19" s="16"/>
      <c r="E19" s="5"/>
    </row>
    <row r="20" spans="1:5" ht="19.5" customHeight="1" x14ac:dyDescent="0.25">
      <c r="A20" s="51"/>
      <c r="B20" s="17"/>
      <c r="C20" s="17"/>
      <c r="D20" s="16"/>
      <c r="E20" s="5"/>
    </row>
    <row r="21" spans="1:5" ht="19.5" customHeight="1" x14ac:dyDescent="0.25">
      <c r="A21" s="51"/>
      <c r="B21" s="17"/>
      <c r="C21" s="17"/>
      <c r="D21" s="16"/>
      <c r="E21" s="5"/>
    </row>
    <row r="22" spans="1:5" ht="19.5" customHeight="1" x14ac:dyDescent="0.25">
      <c r="A22" s="51"/>
      <c r="B22" s="17"/>
      <c r="C22" s="17"/>
      <c r="D22" s="16"/>
      <c r="E22" s="5"/>
    </row>
    <row r="23" spans="1:5" ht="19.5" customHeight="1" x14ac:dyDescent="0.25">
      <c r="A23" s="52"/>
      <c r="B23" s="19"/>
      <c r="C23" s="19"/>
      <c r="D23" s="21"/>
      <c r="E23" s="6"/>
    </row>
    <row r="24" spans="1:5" ht="23.25" x14ac:dyDescent="0.35">
      <c r="A24" s="139" t="s">
        <v>10</v>
      </c>
      <c r="B24" s="140"/>
      <c r="C24" s="78" t="s">
        <v>11</v>
      </c>
      <c r="D24" s="79"/>
      <c r="E24" s="32">
        <v>3</v>
      </c>
    </row>
    <row r="25" spans="1:5" ht="171.75" customHeight="1" x14ac:dyDescent="0.35">
      <c r="A25" s="53" t="s">
        <v>66</v>
      </c>
      <c r="B25" s="54"/>
      <c r="C25" s="141" t="s">
        <v>13</v>
      </c>
      <c r="D25" s="142"/>
      <c r="E25" s="55" t="s">
        <v>67</v>
      </c>
    </row>
    <row r="26" spans="1:5" ht="21" customHeight="1" x14ac:dyDescent="0.35">
      <c r="A26" s="132"/>
      <c r="B26" s="83"/>
      <c r="C26" s="143" t="s">
        <v>15</v>
      </c>
      <c r="D26" s="144"/>
      <c r="E26" s="56" t="s">
        <v>16</v>
      </c>
    </row>
    <row r="27" spans="1:5" ht="23.25" x14ac:dyDescent="0.2">
      <c r="A27" s="130"/>
      <c r="B27" s="131"/>
      <c r="C27" s="127" t="s">
        <v>17</v>
      </c>
      <c r="D27" s="128"/>
      <c r="E27" s="129"/>
    </row>
    <row r="28" spans="1:5" ht="27.75" customHeight="1" x14ac:dyDescent="0.25">
      <c r="A28" s="132"/>
      <c r="B28" s="83"/>
      <c r="C28" s="124" t="s">
        <v>18</v>
      </c>
      <c r="D28" s="125"/>
      <c r="E28" s="126"/>
    </row>
    <row r="29" spans="1:5" ht="18" customHeight="1" x14ac:dyDescent="0.25">
      <c r="A29" s="132"/>
      <c r="B29" s="83"/>
      <c r="C29" s="124" t="s">
        <v>19</v>
      </c>
      <c r="D29" s="125"/>
      <c r="E29" s="126"/>
    </row>
    <row r="30" spans="1:5" ht="18" x14ac:dyDescent="0.25">
      <c r="A30" s="130"/>
      <c r="B30" s="131"/>
      <c r="C30" s="124" t="s">
        <v>20</v>
      </c>
      <c r="D30" s="125"/>
      <c r="E30" s="126"/>
    </row>
    <row r="31" spans="1:5" ht="17.100000000000001" customHeight="1" x14ac:dyDescent="0.25">
      <c r="A31" s="132"/>
      <c r="B31" s="83"/>
      <c r="C31" s="124"/>
      <c r="D31" s="125"/>
      <c r="E31" s="126"/>
    </row>
    <row r="32" spans="1:5" ht="17.100000000000001" customHeight="1" x14ac:dyDescent="0.25">
      <c r="A32" s="133"/>
      <c r="B32" s="95"/>
      <c r="C32" s="124"/>
      <c r="D32" s="125"/>
      <c r="E32" s="126"/>
    </row>
    <row r="33" spans="1:5" ht="22.5" customHeight="1" x14ac:dyDescent="0.35">
      <c r="A33" s="134" t="s">
        <v>21</v>
      </c>
      <c r="B33" s="135"/>
      <c r="C33" s="124" t="s">
        <v>22</v>
      </c>
      <c r="D33" s="125"/>
      <c r="E33" s="126"/>
    </row>
    <row r="34" spans="1:5" ht="17.100000000000001" customHeight="1" x14ac:dyDescent="0.25">
      <c r="A34" s="60"/>
      <c r="B34" s="61"/>
      <c r="C34" s="124"/>
      <c r="D34" s="125"/>
      <c r="E34" s="126"/>
    </row>
    <row r="35" spans="1:5" ht="17.100000000000001" customHeight="1" x14ac:dyDescent="0.25">
      <c r="A35" s="40"/>
      <c r="B35" s="61"/>
      <c r="C35" s="124"/>
      <c r="D35" s="125"/>
      <c r="E35" s="126"/>
    </row>
    <row r="36" spans="1:5" ht="16.5" customHeight="1" x14ac:dyDescent="0.25">
      <c r="A36" s="40"/>
      <c r="B36" s="61"/>
      <c r="C36" s="124"/>
      <c r="D36" s="125"/>
      <c r="E36" s="126"/>
    </row>
    <row r="37" spans="1:5" ht="16.5" customHeight="1" x14ac:dyDescent="0.25">
      <c r="A37" s="40"/>
      <c r="B37" s="61"/>
      <c r="C37" s="124"/>
      <c r="D37" s="125"/>
      <c r="E37" s="126"/>
    </row>
    <row r="38" spans="1:5" ht="16.5" customHeight="1" x14ac:dyDescent="0.25">
      <c r="A38" s="40"/>
      <c r="B38" s="61"/>
      <c r="C38" s="124"/>
      <c r="D38" s="125"/>
      <c r="E38" s="126"/>
    </row>
    <row r="39" spans="1:5" ht="16.5" customHeight="1" x14ac:dyDescent="0.25">
      <c r="A39" s="40"/>
      <c r="B39" s="61"/>
      <c r="C39" s="124"/>
      <c r="D39" s="125"/>
      <c r="E39" s="126"/>
    </row>
    <row r="40" spans="1:5" ht="16.5" customHeight="1" x14ac:dyDescent="0.25">
      <c r="A40" s="60"/>
      <c r="B40" s="61"/>
      <c r="C40" s="57"/>
      <c r="D40" s="58"/>
      <c r="E40" s="59"/>
    </row>
    <row r="41" spans="1:5" ht="16.5" customHeight="1" x14ac:dyDescent="0.25">
      <c r="A41" s="60"/>
      <c r="B41" s="61"/>
      <c r="C41" s="124"/>
      <c r="D41" s="125"/>
      <c r="E41" s="126"/>
    </row>
    <row r="42" spans="1:5" ht="16.5" customHeight="1" x14ac:dyDescent="0.25">
      <c r="A42" s="60"/>
      <c r="B42" s="61"/>
      <c r="C42" s="62"/>
      <c r="D42" s="63"/>
      <c r="E42" s="64"/>
    </row>
    <row r="43" spans="1:5" ht="23.25" customHeight="1" x14ac:dyDescent="0.2">
      <c r="A43" s="60"/>
      <c r="B43" s="61"/>
      <c r="C43" s="127" t="s">
        <v>23</v>
      </c>
      <c r="D43" s="128"/>
      <c r="E43" s="129"/>
    </row>
    <row r="44" spans="1:5" ht="16.5" customHeight="1" x14ac:dyDescent="0.2">
      <c r="A44" s="60"/>
      <c r="B44" s="61"/>
      <c r="C44" s="121" t="s">
        <v>24</v>
      </c>
      <c r="D44" s="122"/>
      <c r="E44" s="123"/>
    </row>
    <row r="45" spans="1:5" ht="16.5" customHeight="1" x14ac:dyDescent="0.2">
      <c r="A45" s="60"/>
      <c r="B45" s="61"/>
      <c r="C45" s="121"/>
      <c r="D45" s="122"/>
      <c r="E45" s="123"/>
    </row>
    <row r="46" spans="1:5" ht="16.5" customHeight="1" x14ac:dyDescent="0.2">
      <c r="A46" s="60"/>
      <c r="B46" s="61"/>
      <c r="C46" s="121"/>
      <c r="D46" s="122"/>
      <c r="E46" s="123"/>
    </row>
    <row r="47" spans="1:5" ht="16.5" customHeight="1" x14ac:dyDescent="0.2">
      <c r="A47" s="60"/>
      <c r="B47" s="61"/>
      <c r="C47" s="121"/>
      <c r="D47" s="122"/>
      <c r="E47" s="123"/>
    </row>
    <row r="48" spans="1:5" ht="16.5" customHeight="1" x14ac:dyDescent="0.2">
      <c r="A48" s="60"/>
      <c r="B48" s="61"/>
      <c r="C48" s="121"/>
      <c r="D48" s="122"/>
      <c r="E48" s="123"/>
    </row>
    <row r="49" spans="1:5" ht="16.5" customHeight="1" x14ac:dyDescent="0.2">
      <c r="A49" s="60"/>
      <c r="B49" s="61"/>
      <c r="C49" s="121"/>
      <c r="D49" s="122"/>
      <c r="E49" s="123"/>
    </row>
    <row r="50" spans="1:5" ht="16.5" customHeight="1" x14ac:dyDescent="0.2">
      <c r="A50" s="60"/>
      <c r="B50" s="61"/>
      <c r="C50" s="121"/>
      <c r="D50" s="122"/>
      <c r="E50" s="123"/>
    </row>
    <row r="51" spans="1:5" ht="16.5" customHeight="1" x14ac:dyDescent="0.2">
      <c r="A51" s="65"/>
      <c r="B51" s="66"/>
      <c r="C51" s="121"/>
      <c r="D51" s="122"/>
      <c r="E51" s="123"/>
    </row>
    <row r="52" spans="1:5" ht="23.25" x14ac:dyDescent="0.35">
      <c r="A52" s="119" t="s">
        <v>25</v>
      </c>
      <c r="B52" s="120"/>
      <c r="C52" s="103" t="s">
        <v>26</v>
      </c>
      <c r="D52" s="104"/>
      <c r="E52" s="11">
        <f>SUM(E3:E23)</f>
        <v>45.23</v>
      </c>
    </row>
    <row r="53" spans="1:5" ht="18.75" customHeight="1" x14ac:dyDescent="0.25">
      <c r="A53" s="117" t="s">
        <v>27</v>
      </c>
      <c r="B53" s="118"/>
      <c r="C53" s="107" t="s">
        <v>28</v>
      </c>
      <c r="D53" s="108"/>
      <c r="E53" s="29">
        <v>384</v>
      </c>
    </row>
    <row r="54" spans="1:5" ht="18.75" customHeight="1" x14ac:dyDescent="0.25">
      <c r="A54" s="117" t="s">
        <v>29</v>
      </c>
      <c r="B54" s="118"/>
      <c r="C54" s="107" t="s">
        <v>30</v>
      </c>
      <c r="D54" s="108"/>
      <c r="E54" s="7">
        <f>SUM(E52/E53)</f>
        <v>0.11778645833333333</v>
      </c>
    </row>
    <row r="55" spans="1:5" ht="18.75" customHeight="1" x14ac:dyDescent="0.25">
      <c r="A55" s="117" t="s">
        <v>31</v>
      </c>
      <c r="B55" s="118"/>
      <c r="C55" s="107" t="s">
        <v>32</v>
      </c>
      <c r="D55" s="108"/>
      <c r="E55" s="30">
        <v>0</v>
      </c>
    </row>
    <row r="56" spans="1:5" ht="18.75" customHeight="1" x14ac:dyDescent="0.25">
      <c r="A56" s="117" t="s">
        <v>33</v>
      </c>
      <c r="B56" s="118"/>
      <c r="C56" s="107" t="s">
        <v>5</v>
      </c>
      <c r="D56" s="108"/>
      <c r="E56" s="7">
        <f>(+E54*E55)+E54</f>
        <v>0.11778645833333333</v>
      </c>
    </row>
    <row r="57" spans="1:5" ht="18.75" customHeight="1" x14ac:dyDescent="0.25">
      <c r="A57" s="117" t="s">
        <v>34</v>
      </c>
      <c r="B57" s="118"/>
      <c r="C57" s="107" t="s">
        <v>35</v>
      </c>
      <c r="D57" s="108"/>
      <c r="E57" s="31"/>
    </row>
    <row r="58" spans="1:5" ht="18.75" customHeight="1" x14ac:dyDescent="0.25">
      <c r="A58" s="113" t="s">
        <v>36</v>
      </c>
      <c r="B58" s="114"/>
      <c r="C58" s="115" t="s">
        <v>37</v>
      </c>
      <c r="D58" s="116"/>
      <c r="E58" s="12" t="e">
        <f>SUM(E56/E57)</f>
        <v>#DIV/0!</v>
      </c>
    </row>
    <row r="59" spans="1:5" ht="19.5" customHeight="1" x14ac:dyDescent="0.2"/>
  </sheetData>
  <mergeCells count="50">
    <mergeCell ref="B1:E1"/>
    <mergeCell ref="A24:B24"/>
    <mergeCell ref="C24:D24"/>
    <mergeCell ref="C25:D25"/>
    <mergeCell ref="A26:B26"/>
    <mergeCell ref="C26:D26"/>
    <mergeCell ref="A27:B27"/>
    <mergeCell ref="C27:E27"/>
    <mergeCell ref="A28:B28"/>
    <mergeCell ref="C28:E28"/>
    <mergeCell ref="A29:B29"/>
    <mergeCell ref="C29:E29"/>
    <mergeCell ref="C37:E37"/>
    <mergeCell ref="A30:B30"/>
    <mergeCell ref="C30:E30"/>
    <mergeCell ref="A31:B31"/>
    <mergeCell ref="C31:E31"/>
    <mergeCell ref="A32:B32"/>
    <mergeCell ref="C32:E32"/>
    <mergeCell ref="A33:B33"/>
    <mergeCell ref="C33:E33"/>
    <mergeCell ref="C34:E34"/>
    <mergeCell ref="C35:E35"/>
    <mergeCell ref="C36:E36"/>
    <mergeCell ref="C51:E51"/>
    <mergeCell ref="C38:E38"/>
    <mergeCell ref="C39:E39"/>
    <mergeCell ref="C41:E41"/>
    <mergeCell ref="C43:E43"/>
    <mergeCell ref="C44:E44"/>
    <mergeCell ref="C45:E45"/>
    <mergeCell ref="C46:E46"/>
    <mergeCell ref="C47:E47"/>
    <mergeCell ref="C48:E48"/>
    <mergeCell ref="C49:E49"/>
    <mergeCell ref="C50:E50"/>
    <mergeCell ref="A52:B52"/>
    <mergeCell ref="C52:D52"/>
    <mergeCell ref="A53:B53"/>
    <mergeCell ref="C53:D53"/>
    <mergeCell ref="A54:B54"/>
    <mergeCell ref="C54:D54"/>
    <mergeCell ref="A58:B58"/>
    <mergeCell ref="C58:D58"/>
    <mergeCell ref="A55:B55"/>
    <mergeCell ref="C55:D55"/>
    <mergeCell ref="A56:B56"/>
    <mergeCell ref="C56:D56"/>
    <mergeCell ref="A57:B57"/>
    <mergeCell ref="C57:D57"/>
  </mergeCells>
  <printOptions horizontalCentered="1" verticalCentered="1"/>
  <pageMargins left="0" right="0" top="0.25" bottom="0.25" header="0.5" footer="0.5"/>
  <pageSetup scale="66" fitToHeight="0"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42E76-14A0-47E4-9F4B-5FD0989655C9}">
  <sheetPr codeName="Sheet4">
    <tabColor rgb="FF0000FF"/>
    <pageSetUpPr fitToPage="1"/>
  </sheetPr>
  <dimension ref="A1:E59"/>
  <sheetViews>
    <sheetView zoomScale="80" zoomScaleNormal="80" workbookViewId="0"/>
  </sheetViews>
  <sheetFormatPr defaultColWidth="9.5546875" defaultRowHeight="15" x14ac:dyDescent="0.2"/>
  <cols>
    <col min="1" max="1" width="58.6640625" style="71" customWidth="1"/>
    <col min="2" max="2" width="21.77734375" style="72" customWidth="1"/>
    <col min="3" max="5" width="16.77734375" style="72" customWidth="1"/>
  </cols>
  <sheetData>
    <row r="1" spans="1:5" ht="30" x14ac:dyDescent="0.4">
      <c r="A1" s="68" t="s">
        <v>79</v>
      </c>
      <c r="B1" s="145" t="s">
        <v>68</v>
      </c>
      <c r="C1" s="145"/>
      <c r="D1" s="145"/>
      <c r="E1" s="145"/>
    </row>
    <row r="2" spans="1:5" s="48" customFormat="1" ht="23.25" x14ac:dyDescent="0.35">
      <c r="A2" s="69" t="s">
        <v>1</v>
      </c>
      <c r="B2" s="70" t="s">
        <v>2</v>
      </c>
      <c r="C2" s="70" t="s">
        <v>3</v>
      </c>
      <c r="D2" s="70" t="s">
        <v>4</v>
      </c>
      <c r="E2" s="70" t="s">
        <v>5</v>
      </c>
    </row>
    <row r="3" spans="1:5" ht="19.5" customHeight="1" x14ac:dyDescent="0.25">
      <c r="A3" s="49" t="s">
        <v>69</v>
      </c>
      <c r="B3" s="42">
        <v>14</v>
      </c>
      <c r="C3" s="50" t="s">
        <v>39</v>
      </c>
      <c r="D3" s="44">
        <v>2.2200000000000002</v>
      </c>
      <c r="E3" s="5">
        <v>32.19</v>
      </c>
    </row>
    <row r="4" spans="1:5" ht="19.5" customHeight="1" x14ac:dyDescent="0.25">
      <c r="A4" s="49" t="s">
        <v>70</v>
      </c>
      <c r="B4" s="42">
        <v>10.5</v>
      </c>
      <c r="C4" s="50" t="s">
        <v>52</v>
      </c>
      <c r="D4" s="44">
        <v>0.32</v>
      </c>
      <c r="E4" s="5">
        <v>3.36</v>
      </c>
    </row>
    <row r="5" spans="1:5" ht="19.5" customHeight="1" x14ac:dyDescent="0.25">
      <c r="A5" s="49" t="s">
        <v>56</v>
      </c>
      <c r="B5" s="42">
        <v>3.5</v>
      </c>
      <c r="C5" s="50" t="s">
        <v>52</v>
      </c>
      <c r="D5" s="44">
        <v>0.88</v>
      </c>
      <c r="E5" s="5">
        <v>3.08</v>
      </c>
    </row>
    <row r="6" spans="1:5" ht="19.5" customHeight="1" x14ac:dyDescent="0.25">
      <c r="A6" s="49" t="s">
        <v>54</v>
      </c>
      <c r="B6" s="42">
        <v>3.5</v>
      </c>
      <c r="C6" s="50" t="s">
        <v>52</v>
      </c>
      <c r="D6" s="44">
        <v>0.72</v>
      </c>
      <c r="E6" s="5">
        <v>2.52</v>
      </c>
    </row>
    <row r="7" spans="1:5" ht="19.5" customHeight="1" x14ac:dyDescent="0.25">
      <c r="A7" s="49" t="s">
        <v>71</v>
      </c>
      <c r="B7" s="42">
        <v>8</v>
      </c>
      <c r="C7" s="50" t="s">
        <v>72</v>
      </c>
      <c r="D7" s="44">
        <v>0.28999999999999998</v>
      </c>
      <c r="E7" s="5">
        <v>2.3199999999999998</v>
      </c>
    </row>
    <row r="8" spans="1:5" ht="19.5" customHeight="1" x14ac:dyDescent="0.25">
      <c r="A8" s="49" t="s">
        <v>73</v>
      </c>
      <c r="B8" s="42">
        <v>4</v>
      </c>
      <c r="C8" s="50" t="s">
        <v>60</v>
      </c>
      <c r="D8" s="44">
        <v>0.3</v>
      </c>
      <c r="E8" s="5">
        <v>1.2</v>
      </c>
    </row>
    <row r="9" spans="1:5" ht="19.5" customHeight="1" x14ac:dyDescent="0.25">
      <c r="A9" s="49" t="s">
        <v>74</v>
      </c>
      <c r="B9" s="42">
        <v>2</v>
      </c>
      <c r="C9" s="50" t="s">
        <v>60</v>
      </c>
      <c r="D9" s="44">
        <v>0.75</v>
      </c>
      <c r="E9" s="5">
        <v>1.49</v>
      </c>
    </row>
    <row r="10" spans="1:5" ht="19.5" customHeight="1" x14ac:dyDescent="0.25">
      <c r="A10" s="49" t="s">
        <v>75</v>
      </c>
      <c r="B10" s="42">
        <v>2</v>
      </c>
      <c r="C10" s="50" t="s">
        <v>60</v>
      </c>
      <c r="D10" s="44">
        <v>0.87</v>
      </c>
      <c r="E10" s="5">
        <v>1.73</v>
      </c>
    </row>
    <row r="11" spans="1:5" ht="19.5" customHeight="1" x14ac:dyDescent="0.25">
      <c r="A11" s="49" t="s">
        <v>76</v>
      </c>
      <c r="B11" s="42">
        <v>1</v>
      </c>
      <c r="C11" s="50" t="s">
        <v>60</v>
      </c>
      <c r="D11" s="44">
        <v>0.04</v>
      </c>
      <c r="E11" s="5">
        <v>0.04</v>
      </c>
    </row>
    <row r="12" spans="1:5" ht="19.5" customHeight="1" x14ac:dyDescent="0.25">
      <c r="A12" s="49"/>
      <c r="B12" s="42"/>
      <c r="C12" s="50"/>
      <c r="D12" s="44"/>
      <c r="E12" s="5"/>
    </row>
    <row r="13" spans="1:5" ht="19.5" customHeight="1" x14ac:dyDescent="0.25">
      <c r="A13" s="51"/>
      <c r="B13" s="14"/>
      <c r="C13" s="17"/>
      <c r="D13" s="16"/>
      <c r="E13" s="5"/>
    </row>
    <row r="14" spans="1:5" ht="19.5" customHeight="1" x14ac:dyDescent="0.25">
      <c r="A14" s="51"/>
      <c r="B14" s="17"/>
      <c r="C14" s="17"/>
      <c r="D14" s="16"/>
      <c r="E14" s="5"/>
    </row>
    <row r="15" spans="1:5" ht="19.5" customHeight="1" x14ac:dyDescent="0.25">
      <c r="A15" s="51"/>
      <c r="B15" s="17"/>
      <c r="C15" s="17"/>
      <c r="D15" s="16"/>
      <c r="E15" s="5"/>
    </row>
    <row r="16" spans="1:5" ht="19.5" customHeight="1" x14ac:dyDescent="0.25">
      <c r="A16" s="51"/>
      <c r="B16" s="17"/>
      <c r="C16" s="17"/>
      <c r="D16" s="16"/>
      <c r="E16" s="5"/>
    </row>
    <row r="17" spans="1:5" ht="19.5" customHeight="1" x14ac:dyDescent="0.25">
      <c r="A17" s="51"/>
      <c r="B17" s="17"/>
      <c r="C17" s="17"/>
      <c r="D17" s="16"/>
      <c r="E17" s="5"/>
    </row>
    <row r="18" spans="1:5" ht="19.5" customHeight="1" x14ac:dyDescent="0.25">
      <c r="A18" s="51"/>
      <c r="B18" s="17"/>
      <c r="C18" s="17"/>
      <c r="D18" s="16"/>
      <c r="E18" s="5"/>
    </row>
    <row r="19" spans="1:5" ht="19.5" customHeight="1" x14ac:dyDescent="0.25">
      <c r="A19" s="51"/>
      <c r="B19" s="17"/>
      <c r="C19" s="17"/>
      <c r="D19" s="16"/>
      <c r="E19" s="5"/>
    </row>
    <row r="20" spans="1:5" ht="19.5" customHeight="1" x14ac:dyDescent="0.25">
      <c r="A20" s="51"/>
      <c r="B20" s="17"/>
      <c r="C20" s="17"/>
      <c r="D20" s="16"/>
      <c r="E20" s="5"/>
    </row>
    <row r="21" spans="1:5" ht="19.5" customHeight="1" x14ac:dyDescent="0.25">
      <c r="A21" s="51"/>
      <c r="B21" s="17"/>
      <c r="C21" s="17"/>
      <c r="D21" s="16"/>
      <c r="E21" s="5"/>
    </row>
    <row r="22" spans="1:5" ht="19.5" customHeight="1" x14ac:dyDescent="0.25">
      <c r="A22" s="51"/>
      <c r="B22" s="17"/>
      <c r="C22" s="17"/>
      <c r="D22" s="16"/>
      <c r="E22" s="5"/>
    </row>
    <row r="23" spans="1:5" ht="19.5" customHeight="1" x14ac:dyDescent="0.25">
      <c r="A23" s="52"/>
      <c r="B23" s="19"/>
      <c r="C23" s="19"/>
      <c r="D23" s="21"/>
      <c r="E23" s="6"/>
    </row>
    <row r="24" spans="1:5" ht="23.25" x14ac:dyDescent="0.35">
      <c r="A24" s="139" t="s">
        <v>10</v>
      </c>
      <c r="B24" s="140"/>
      <c r="C24" s="78" t="s">
        <v>11</v>
      </c>
      <c r="D24" s="79"/>
      <c r="E24" s="32">
        <v>2</v>
      </c>
    </row>
    <row r="25" spans="1:5" ht="165.75" customHeight="1" x14ac:dyDescent="0.35">
      <c r="A25" s="53" t="s">
        <v>77</v>
      </c>
      <c r="B25" s="54"/>
      <c r="C25" s="141" t="s">
        <v>13</v>
      </c>
      <c r="D25" s="142"/>
      <c r="E25" s="55" t="s">
        <v>67</v>
      </c>
    </row>
    <row r="26" spans="1:5" ht="21" customHeight="1" x14ac:dyDescent="0.35">
      <c r="A26" s="132"/>
      <c r="B26" s="83"/>
      <c r="C26" s="143" t="s">
        <v>15</v>
      </c>
      <c r="D26" s="144"/>
      <c r="E26" s="56" t="s">
        <v>16</v>
      </c>
    </row>
    <row r="27" spans="1:5" ht="23.25" x14ac:dyDescent="0.2">
      <c r="A27" s="130"/>
      <c r="B27" s="131"/>
      <c r="C27" s="127" t="s">
        <v>17</v>
      </c>
      <c r="D27" s="128"/>
      <c r="E27" s="129"/>
    </row>
    <row r="28" spans="1:5" ht="27.75" customHeight="1" x14ac:dyDescent="0.25">
      <c r="A28" s="132"/>
      <c r="B28" s="83"/>
      <c r="C28" s="124" t="s">
        <v>18</v>
      </c>
      <c r="D28" s="125"/>
      <c r="E28" s="126"/>
    </row>
    <row r="29" spans="1:5" ht="18" customHeight="1" x14ac:dyDescent="0.25">
      <c r="A29" s="132"/>
      <c r="B29" s="83"/>
      <c r="C29" s="124" t="s">
        <v>19</v>
      </c>
      <c r="D29" s="125"/>
      <c r="E29" s="126"/>
    </row>
    <row r="30" spans="1:5" ht="18" x14ac:dyDescent="0.25">
      <c r="A30" s="130"/>
      <c r="B30" s="131"/>
      <c r="C30" s="124" t="s">
        <v>20</v>
      </c>
      <c r="D30" s="125"/>
      <c r="E30" s="126"/>
    </row>
    <row r="31" spans="1:5" ht="17.100000000000001" customHeight="1" x14ac:dyDescent="0.25">
      <c r="A31" s="132"/>
      <c r="B31" s="83"/>
      <c r="C31" s="124"/>
      <c r="D31" s="125"/>
      <c r="E31" s="126"/>
    </row>
    <row r="32" spans="1:5" ht="17.100000000000001" customHeight="1" x14ac:dyDescent="0.25">
      <c r="A32" s="133"/>
      <c r="B32" s="95"/>
      <c r="C32" s="124"/>
      <c r="D32" s="125"/>
      <c r="E32" s="126"/>
    </row>
    <row r="33" spans="1:5" ht="22.5" customHeight="1" x14ac:dyDescent="0.35">
      <c r="A33" s="134" t="s">
        <v>21</v>
      </c>
      <c r="B33" s="135"/>
      <c r="C33" s="124" t="s">
        <v>22</v>
      </c>
      <c r="D33" s="125"/>
      <c r="E33" s="126"/>
    </row>
    <row r="34" spans="1:5" ht="17.100000000000001" customHeight="1" x14ac:dyDescent="0.25">
      <c r="A34" s="60"/>
      <c r="B34" s="61"/>
      <c r="C34" s="124"/>
      <c r="D34" s="125"/>
      <c r="E34" s="126"/>
    </row>
    <row r="35" spans="1:5" ht="17.100000000000001" customHeight="1" x14ac:dyDescent="0.25">
      <c r="A35" s="40"/>
      <c r="B35" s="61"/>
      <c r="C35" s="124"/>
      <c r="D35" s="125"/>
      <c r="E35" s="126"/>
    </row>
    <row r="36" spans="1:5" ht="16.5" customHeight="1" x14ac:dyDescent="0.25">
      <c r="A36" s="40"/>
      <c r="B36" s="61"/>
      <c r="C36" s="124"/>
      <c r="D36" s="125"/>
      <c r="E36" s="126"/>
    </row>
    <row r="37" spans="1:5" ht="16.5" customHeight="1" x14ac:dyDescent="0.25">
      <c r="A37" s="40"/>
      <c r="B37" s="61"/>
      <c r="C37" s="124"/>
      <c r="D37" s="125"/>
      <c r="E37" s="126"/>
    </row>
    <row r="38" spans="1:5" ht="16.5" customHeight="1" x14ac:dyDescent="0.25">
      <c r="A38" s="40"/>
      <c r="B38" s="61"/>
      <c r="C38" s="124"/>
      <c r="D38" s="125"/>
      <c r="E38" s="126"/>
    </row>
    <row r="39" spans="1:5" ht="16.5" customHeight="1" x14ac:dyDescent="0.25">
      <c r="A39" s="40"/>
      <c r="B39" s="61"/>
      <c r="C39" s="124"/>
      <c r="D39" s="125"/>
      <c r="E39" s="126"/>
    </row>
    <row r="40" spans="1:5" ht="16.5" customHeight="1" x14ac:dyDescent="0.25">
      <c r="A40" s="60"/>
      <c r="B40" s="61"/>
      <c r="C40" s="57"/>
      <c r="D40" s="58"/>
      <c r="E40" s="59"/>
    </row>
    <row r="41" spans="1:5" ht="16.5" customHeight="1" x14ac:dyDescent="0.25">
      <c r="A41" s="60"/>
      <c r="B41" s="61"/>
      <c r="C41" s="124"/>
      <c r="D41" s="125"/>
      <c r="E41" s="126"/>
    </row>
    <row r="42" spans="1:5" ht="16.5" customHeight="1" x14ac:dyDescent="0.25">
      <c r="A42" s="60"/>
      <c r="B42" s="61"/>
      <c r="C42" s="62"/>
      <c r="D42" s="63"/>
      <c r="E42" s="64"/>
    </row>
    <row r="43" spans="1:5" ht="23.25" customHeight="1" x14ac:dyDescent="0.2">
      <c r="A43" s="60"/>
      <c r="B43" s="61"/>
      <c r="C43" s="127" t="s">
        <v>23</v>
      </c>
      <c r="D43" s="128"/>
      <c r="E43" s="129"/>
    </row>
    <row r="44" spans="1:5" ht="16.5" customHeight="1" x14ac:dyDescent="0.2">
      <c r="A44" s="60"/>
      <c r="B44" s="61"/>
      <c r="C44" s="121" t="s">
        <v>24</v>
      </c>
      <c r="D44" s="122"/>
      <c r="E44" s="123"/>
    </row>
    <row r="45" spans="1:5" ht="16.5" customHeight="1" x14ac:dyDescent="0.2">
      <c r="A45" s="60"/>
      <c r="B45" s="61"/>
      <c r="C45" s="121"/>
      <c r="D45" s="122"/>
      <c r="E45" s="123"/>
    </row>
    <row r="46" spans="1:5" ht="16.5" customHeight="1" x14ac:dyDescent="0.2">
      <c r="A46" s="60"/>
      <c r="B46" s="61"/>
      <c r="C46" s="121"/>
      <c r="D46" s="122"/>
      <c r="E46" s="123"/>
    </row>
    <row r="47" spans="1:5" ht="16.5" customHeight="1" x14ac:dyDescent="0.2">
      <c r="A47" s="60"/>
      <c r="B47" s="61"/>
      <c r="C47" s="121"/>
      <c r="D47" s="122"/>
      <c r="E47" s="123"/>
    </row>
    <row r="48" spans="1:5" ht="16.5" customHeight="1" x14ac:dyDescent="0.2">
      <c r="A48" s="60"/>
      <c r="B48" s="61"/>
      <c r="C48" s="121"/>
      <c r="D48" s="122"/>
      <c r="E48" s="123"/>
    </row>
    <row r="49" spans="1:5" ht="16.5" customHeight="1" x14ac:dyDescent="0.2">
      <c r="A49" s="60"/>
      <c r="B49" s="61"/>
      <c r="C49" s="121"/>
      <c r="D49" s="122"/>
      <c r="E49" s="123"/>
    </row>
    <row r="50" spans="1:5" ht="16.5" customHeight="1" x14ac:dyDescent="0.2">
      <c r="A50" s="60"/>
      <c r="B50" s="61"/>
      <c r="C50" s="121"/>
      <c r="D50" s="122"/>
      <c r="E50" s="123"/>
    </row>
    <row r="51" spans="1:5" ht="16.5" customHeight="1" x14ac:dyDescent="0.2">
      <c r="A51" s="65"/>
      <c r="B51" s="66"/>
      <c r="C51" s="121"/>
      <c r="D51" s="122"/>
      <c r="E51" s="123"/>
    </row>
    <row r="52" spans="1:5" ht="23.25" x14ac:dyDescent="0.35">
      <c r="A52" s="119" t="s">
        <v>25</v>
      </c>
      <c r="B52" s="120"/>
      <c r="C52" s="103" t="s">
        <v>26</v>
      </c>
      <c r="D52" s="104"/>
      <c r="E52" s="11">
        <f>SUM(E3:E23)</f>
        <v>47.93</v>
      </c>
    </row>
    <row r="53" spans="1:5" ht="18.75" customHeight="1" x14ac:dyDescent="0.25">
      <c r="A53" s="117" t="s">
        <v>27</v>
      </c>
      <c r="B53" s="118"/>
      <c r="C53" s="107" t="s">
        <v>28</v>
      </c>
      <c r="D53" s="108"/>
      <c r="E53" s="29">
        <v>32</v>
      </c>
    </row>
    <row r="54" spans="1:5" ht="18.75" customHeight="1" x14ac:dyDescent="0.25">
      <c r="A54" s="117" t="s">
        <v>29</v>
      </c>
      <c r="B54" s="118"/>
      <c r="C54" s="107" t="s">
        <v>30</v>
      </c>
      <c r="D54" s="108"/>
      <c r="E54" s="7">
        <f>SUM(E52/E53)</f>
        <v>1.4978125</v>
      </c>
    </row>
    <row r="55" spans="1:5" ht="18.75" customHeight="1" x14ac:dyDescent="0.25">
      <c r="A55" s="117" t="s">
        <v>31</v>
      </c>
      <c r="B55" s="118"/>
      <c r="C55" s="107" t="s">
        <v>32</v>
      </c>
      <c r="D55" s="108"/>
      <c r="E55" s="30"/>
    </row>
    <row r="56" spans="1:5" ht="18.75" customHeight="1" x14ac:dyDescent="0.25">
      <c r="A56" s="117" t="s">
        <v>33</v>
      </c>
      <c r="B56" s="118"/>
      <c r="C56" s="107" t="s">
        <v>5</v>
      </c>
      <c r="D56" s="108"/>
      <c r="E56" s="7">
        <f>(+E54*E55)+E54</f>
        <v>1.4978125</v>
      </c>
    </row>
    <row r="57" spans="1:5" ht="18.75" customHeight="1" x14ac:dyDescent="0.25">
      <c r="A57" s="117" t="s">
        <v>34</v>
      </c>
      <c r="B57" s="118"/>
      <c r="C57" s="107" t="s">
        <v>35</v>
      </c>
      <c r="D57" s="108"/>
      <c r="E57" s="31"/>
    </row>
    <row r="58" spans="1:5" ht="18.75" customHeight="1" x14ac:dyDescent="0.25">
      <c r="A58" s="113" t="s">
        <v>36</v>
      </c>
      <c r="B58" s="114"/>
      <c r="C58" s="115" t="s">
        <v>37</v>
      </c>
      <c r="D58" s="116"/>
      <c r="E58" s="12" t="e">
        <f>SUM(E56/E57)</f>
        <v>#DIV/0!</v>
      </c>
    </row>
    <row r="59" spans="1:5" ht="19.5" customHeight="1" x14ac:dyDescent="0.2"/>
  </sheetData>
  <mergeCells count="50">
    <mergeCell ref="B1:E1"/>
    <mergeCell ref="A24:B24"/>
    <mergeCell ref="C24:D24"/>
    <mergeCell ref="C25:D25"/>
    <mergeCell ref="A26:B26"/>
    <mergeCell ref="C26:D26"/>
    <mergeCell ref="A27:B27"/>
    <mergeCell ref="C27:E27"/>
    <mergeCell ref="A28:B28"/>
    <mergeCell ref="C28:E28"/>
    <mergeCell ref="A29:B29"/>
    <mergeCell ref="C29:E29"/>
    <mergeCell ref="C37:E37"/>
    <mergeCell ref="A30:B30"/>
    <mergeCell ref="C30:E30"/>
    <mergeCell ref="A31:B31"/>
    <mergeCell ref="C31:E31"/>
    <mergeCell ref="A32:B32"/>
    <mergeCell ref="C32:E32"/>
    <mergeCell ref="A33:B33"/>
    <mergeCell ref="C33:E33"/>
    <mergeCell ref="C34:E34"/>
    <mergeCell ref="C35:E35"/>
    <mergeCell ref="C36:E36"/>
    <mergeCell ref="C51:E51"/>
    <mergeCell ref="C38:E38"/>
    <mergeCell ref="C39:E39"/>
    <mergeCell ref="C41:E41"/>
    <mergeCell ref="C43:E43"/>
    <mergeCell ref="C44:E44"/>
    <mergeCell ref="C45:E45"/>
    <mergeCell ref="C46:E46"/>
    <mergeCell ref="C47:E47"/>
    <mergeCell ref="C48:E48"/>
    <mergeCell ref="C49:E49"/>
    <mergeCell ref="C50:E50"/>
    <mergeCell ref="A52:B52"/>
    <mergeCell ref="C52:D52"/>
    <mergeCell ref="A53:B53"/>
    <mergeCell ref="C53:D53"/>
    <mergeCell ref="A54:B54"/>
    <mergeCell ref="C54:D54"/>
    <mergeCell ref="A58:B58"/>
    <mergeCell ref="C58:D58"/>
    <mergeCell ref="A55:B55"/>
    <mergeCell ref="C55:D55"/>
    <mergeCell ref="A56:B56"/>
    <mergeCell ref="C56:D56"/>
    <mergeCell ref="A57:B57"/>
    <mergeCell ref="C57:D57"/>
  </mergeCells>
  <printOptions horizontalCentered="1" verticalCentered="1"/>
  <pageMargins left="0" right="0" top="0.25" bottom="0.25" header="0.5" footer="0.5"/>
  <pageSetup scale="66" fitToHeight="0" orientation="portrait"/>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BBQ Meatballs</vt:lpstr>
      <vt:lpstr>Meatballs (2)</vt:lpstr>
      <vt:lpstr>BBQ Sauce (2)</vt:lpstr>
      <vt:lpstr>Apple Marmalade (2)</vt:lpstr>
      <vt:lpstr>'BBQ Meatballs'!Print_Area</vt:lpstr>
    </vt:vector>
  </TitlesOfParts>
  <Manager/>
  <Company>Levy Restaurants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jalink</dc:creator>
  <cp:keywords/>
  <dc:description/>
  <cp:lastModifiedBy>Ryan Coffee</cp:lastModifiedBy>
  <cp:revision/>
  <dcterms:created xsi:type="dcterms:W3CDTF">2011-01-13T22:28:49Z</dcterms:created>
  <dcterms:modified xsi:type="dcterms:W3CDTF">2026-01-25T04:19:53Z</dcterms:modified>
  <cp:category/>
  <cp:contentStatus/>
</cp:coreProperties>
</file>