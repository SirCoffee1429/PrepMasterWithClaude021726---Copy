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defaultThemeVersion="124226"/>
  <mc:AlternateContent xmlns:mc="http://schemas.openxmlformats.org/markup-compatibility/2006">
    <mc:Choice Requires="x15">
      <x15ac:absPath xmlns:x15ac="http://schemas.microsoft.com/office/spreadsheetml/2010/11/ac" url="C:\Users\Ryan Coffee\PrepMaster Docs\2026 Shared Menu\Soups\"/>
    </mc:Choice>
  </mc:AlternateContent>
  <xr:revisionPtr revIDLastSave="0" documentId="13_ncr:1_{EFAF546B-02A9-43A8-B329-CB77C50F9460}" xr6:coauthVersionLast="47" xr6:coauthVersionMax="47" xr10:uidLastSave="{00000000-0000-0000-0000-000000000000}"/>
  <bookViews>
    <workbookView xWindow="29970" yWindow="630" windowWidth="18675" windowHeight="14850" xr2:uid="{00000000-000D-0000-FFFF-FFFF00000000}"/>
  </bookViews>
  <sheets>
    <sheet name="Brisket Chili " sheetId="6" r:id="rId1"/>
    <sheet name="Brisket Chili Recipe" sheetId="1" r:id="rId2"/>
  </sheets>
  <externalReferences>
    <externalReference r:id="rId3"/>
  </externalReferences>
  <definedNames>
    <definedName name="_xlnm.Print_Area" localSheetId="0">'Brisket Chili '!$A$1:$E$59</definedName>
    <definedName name="_xlnm.Print_Area" localSheetId="1">'Brisket Chili Recipe'!$A$1:$E$59</definedName>
    <definedName name="times">'[1]Recipe Development'!$O$23:$O$24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3" i="6" l="1"/>
  <c r="E55" i="6" s="1"/>
  <c r="E57" i="6" s="1"/>
  <c r="E59" i="6" s="1"/>
  <c r="E24" i="1"/>
  <c r="E20" i="1"/>
  <c r="E19" i="1"/>
  <c r="E18" i="1"/>
  <c r="E17" i="1"/>
  <c r="E15" i="1"/>
  <c r="E14" i="1"/>
  <c r="E13" i="1"/>
  <c r="E12" i="1"/>
  <c r="E11" i="1"/>
  <c r="E8" i="1"/>
  <c r="E25" i="1"/>
  <c r="E23" i="1"/>
  <c r="E22" i="1"/>
  <c r="E21" i="1"/>
  <c r="E10" i="1"/>
  <c r="E9" i="1"/>
  <c r="E7" i="1" l="1"/>
  <c r="E3" i="1" l="1"/>
  <c r="E6" i="1"/>
  <c r="E5" i="1"/>
  <c r="E4" i="1"/>
  <c r="E53" i="1" l="1"/>
  <c r="E55" i="1" s="1"/>
  <c r="E57" i="1" l="1"/>
  <c r="E59" i="1" s="1"/>
</calcChain>
</file>

<file path=xl/sharedStrings.xml><?xml version="1.0" encoding="utf-8"?>
<sst xmlns="http://schemas.openxmlformats.org/spreadsheetml/2006/main" count="118" uniqueCount="71">
  <si>
    <t>Ingredients</t>
  </si>
  <si>
    <t>Quantity</t>
  </si>
  <si>
    <t>Measure</t>
  </si>
  <si>
    <t>Unit Cost</t>
  </si>
  <si>
    <t>Total Cost</t>
  </si>
  <si>
    <t>Brisket Chili (see recipe)</t>
  </si>
  <si>
    <t>oz</t>
  </si>
  <si>
    <t>Sour Cream</t>
  </si>
  <si>
    <t>Green Onions</t>
  </si>
  <si>
    <t>Tbs</t>
  </si>
  <si>
    <t>Assembly:</t>
  </si>
  <si>
    <t>Yield Amount:</t>
  </si>
  <si>
    <t xml:space="preserve">
1. Place chili in a hot soup bowl.
2. Put sour cream in the middle of the chili.
3. Sprinkle green onions on top of chili.</t>
  </si>
  <si>
    <t>Yield Measure:</t>
  </si>
  <si>
    <t>Bowl</t>
  </si>
  <si>
    <t>Shelf Life (in days):</t>
  </si>
  <si>
    <t xml:space="preserve">7 days </t>
  </si>
  <si>
    <t>Tools &amp; Supplies:</t>
  </si>
  <si>
    <t>Photo:</t>
  </si>
  <si>
    <t>Knife</t>
  </si>
  <si>
    <t>Vehicle:</t>
  </si>
  <si>
    <t>Long plate</t>
  </si>
  <si>
    <t>Food Safety Notes:</t>
  </si>
  <si>
    <t>Recipe Cost</t>
  </si>
  <si>
    <t>* Wash hands before food preparation and when changing tasks.</t>
  </si>
  <si>
    <t>Yield</t>
  </si>
  <si>
    <t>* Wear gloves or use suitable utensils when handling ready to eat foods.</t>
  </si>
  <si>
    <t>Portion Cost</t>
  </si>
  <si>
    <t>* Hold cold foods at 40°F or less.</t>
  </si>
  <si>
    <t>Q-Factor</t>
  </si>
  <si>
    <t>* Hold hot foods at 140°F or more.</t>
  </si>
  <si>
    <t>* Record temperatures of potentially hazardous foods at least three times daily.</t>
  </si>
  <si>
    <t>Menu Price</t>
  </si>
  <si>
    <t>* Rinse all produce and immerse in a produce wash in a sanitized prep sink.</t>
  </si>
  <si>
    <t>Food Cost %</t>
  </si>
  <si>
    <t>Brisket</t>
  </si>
  <si>
    <t>lbs</t>
  </si>
  <si>
    <t>Ground Beef</t>
  </si>
  <si>
    <t>Yellow Onion</t>
  </si>
  <si>
    <t>Each</t>
  </si>
  <si>
    <t>Pepper</t>
  </si>
  <si>
    <t>San Marzano Tomato</t>
  </si>
  <si>
    <t>Cans</t>
  </si>
  <si>
    <t>Black Beans</t>
  </si>
  <si>
    <t>Can</t>
  </si>
  <si>
    <t>Kidney Beans</t>
  </si>
  <si>
    <t>Garlic</t>
  </si>
  <si>
    <t>Cups</t>
  </si>
  <si>
    <t>Cumin</t>
  </si>
  <si>
    <t>Cup</t>
  </si>
  <si>
    <t>Worchestershire</t>
  </si>
  <si>
    <t>Molasses</t>
  </si>
  <si>
    <t>Chicken Base</t>
  </si>
  <si>
    <t>Water</t>
  </si>
  <si>
    <t>qts</t>
  </si>
  <si>
    <t>Paprika</t>
  </si>
  <si>
    <t>Chili Powder</t>
  </si>
  <si>
    <t>Onion Powder</t>
  </si>
  <si>
    <t>Garlic Powder</t>
  </si>
  <si>
    <t>Beef Base</t>
  </si>
  <si>
    <t>Tomato Paste</t>
  </si>
  <si>
    <t>Dried Pasilla Chilis</t>
  </si>
  <si>
    <t>Dried Guadiro Chilies</t>
  </si>
  <si>
    <t>Salt and Pepper</t>
  </si>
  <si>
    <t>tt</t>
  </si>
  <si>
    <r>
      <rPr>
        <sz val="12"/>
        <color rgb="FF000000"/>
        <rFont val="Arial"/>
        <family val="2"/>
      </rPr>
      <t xml:space="preserve">
1. Remove stems and seeds from Dried Pasilla and Guajillo chilies, toast them in a dry pot for 2 minutes, then simmer in water until soft.
2. Blend the softened chilies with some soaking liquid, garlic, and tomato paste to create a smooth paste.
3. Cube the brisket and set aside.
4. Brown the ground beef in the same pot and drain any excess fat.
5. Add diced yellow onion and pepper to the pot and sauté until softened.
6. Stir in cumin, paprika, chili powder, onion powder, and garlic powder, cooking for 1 minute.
7. Add the Worcestershire sauce, molasses, and the blended chili paste.
8. Stir in the San Marzano tomatoes, water, chicken base, and beef base.
9 Return the brisket to the pot, cover, and simmer on low for 2–3 hours until the brisket is tender.
10. Stir in the black beans and kidney beans.
11. Season with salt and pepper and simmer uncovered for 20 minutes to reach your desired thickness.
12. Put in plastic container and place in ice bath to cool.
13. </t>
    </r>
    <r>
      <rPr>
        <b/>
        <sz val="12"/>
        <color rgb="FF000000"/>
        <rFont val="Arial"/>
        <family val="2"/>
      </rPr>
      <t xml:space="preserve">Label, Date, Refrigerate </t>
    </r>
  </si>
  <si>
    <t>Gallons</t>
  </si>
  <si>
    <t>MENU ITEM:</t>
  </si>
  <si>
    <t>Brisket Chili Recipe</t>
  </si>
  <si>
    <t>RECIPE:</t>
  </si>
  <si>
    <t xml:space="preserve">Brisket Chili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</si>
</sst>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0.0%"/>
  </numFmts>
  <fonts count="14" x14ac:knownFonts="1">
    <font>
      <sz val="12"/>
      <name val="Arial"/>
      <family val="2"/>
    </font>
    <font>
      <b/>
      <sz val="24"/>
      <color indexed="8"/>
      <name val="Arial"/>
      <family val="2"/>
    </font>
    <font>
      <b/>
      <sz val="24"/>
      <name val="Arial"/>
      <family val="2"/>
    </font>
    <font>
      <b/>
      <sz val="18"/>
      <name val="Arial"/>
      <family val="2"/>
    </font>
    <font>
      <sz val="18"/>
      <name val="Arial"/>
      <family val="2"/>
    </font>
    <font>
      <sz val="14"/>
      <name val="Arial"/>
      <family val="2"/>
    </font>
    <font>
      <b/>
      <u/>
      <sz val="18"/>
      <name val="Arial"/>
      <family val="2"/>
    </font>
    <font>
      <b/>
      <sz val="12"/>
      <color indexed="8"/>
      <name val="Arial"/>
      <family val="2"/>
    </font>
    <font>
      <sz val="13"/>
      <name val="Arial"/>
      <family val="2"/>
    </font>
    <font>
      <sz val="8"/>
      <name val="Arial"/>
      <family val="2"/>
    </font>
    <font>
      <sz val="12"/>
      <name val="Arial"/>
      <family val="2"/>
    </font>
    <font>
      <sz val="11"/>
      <color theme="1"/>
      <name val="Calibri"/>
      <family val="2"/>
      <scheme val="minor"/>
    </font>
    <font>
      <sz val="12"/>
      <color rgb="FF000000"/>
      <name val="Arial"/>
      <family val="2"/>
    </font>
    <font>
      <b/>
      <sz val="12"/>
      <color rgb="FF000000"/>
      <name val="Arial"/>
      <family val="2"/>
    </font>
  </fonts>
  <fills count="3">
    <fill>
      <patternFill patternType="none"/>
    </fill>
    <fill>
      <patternFill patternType="gray125"/>
    </fill>
    <fill>
      <patternFill patternType="solid">
        <fgColor indexed="9"/>
        <bgColor indexed="64"/>
      </patternFill>
    </fill>
  </fills>
  <borders count="28">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s>
  <cellStyleXfs count="3">
    <xf numFmtId="1" fontId="0" fillId="2" borderId="0">
      <alignment horizontal="center" vertical="center"/>
    </xf>
    <xf numFmtId="1" fontId="10" fillId="2" borderId="0">
      <alignment horizontal="center" vertical="center"/>
    </xf>
    <xf numFmtId="0" fontId="11" fillId="0" borderId="0"/>
  </cellStyleXfs>
  <cellXfs count="79">
    <xf numFmtId="1" fontId="0" fillId="2" borderId="0" xfId="0">
      <alignment horizontal="center" vertical="center"/>
    </xf>
    <xf numFmtId="0" fontId="0" fillId="2" borderId="0" xfId="0" applyNumberFormat="1">
      <alignment horizontal="center" vertical="center"/>
    </xf>
    <xf numFmtId="1" fontId="3" fillId="2" borderId="1" xfId="0" applyFont="1" applyBorder="1" applyAlignment="1">
      <alignment horizontal="center" wrapText="1"/>
    </xf>
    <xf numFmtId="1" fontId="3" fillId="2" borderId="2" xfId="0" applyFont="1" applyBorder="1" applyAlignment="1">
      <alignment horizontal="center" wrapText="1"/>
    </xf>
    <xf numFmtId="0" fontId="4" fillId="2" borderId="0" xfId="0" applyNumberFormat="1" applyFont="1">
      <alignment horizontal="center" vertical="center"/>
    </xf>
    <xf numFmtId="164" fontId="5" fillId="2" borderId="4" xfId="0" applyNumberFormat="1" applyFont="1" applyBorder="1" applyAlignment="1">
      <alignment horizontal="center"/>
    </xf>
    <xf numFmtId="164" fontId="7" fillId="2" borderId="4" xfId="0" applyNumberFormat="1" applyFont="1" applyBorder="1" applyAlignment="1">
      <alignment horizontal="center"/>
    </xf>
    <xf numFmtId="0" fontId="0" fillId="2" borderId="0" xfId="0" applyNumberFormat="1" applyAlignment="1">
      <alignment horizontal="left"/>
    </xf>
    <xf numFmtId="0" fontId="1" fillId="2" borderId="7" xfId="0" applyNumberFormat="1" applyFont="1" applyBorder="1" applyAlignment="1">
      <alignment horizontal="center"/>
    </xf>
    <xf numFmtId="0" fontId="3" fillId="2" borderId="8" xfId="0" applyNumberFormat="1" applyFont="1" applyBorder="1" applyAlignment="1">
      <alignment horizontal="center"/>
    </xf>
    <xf numFmtId="164" fontId="7" fillId="2" borderId="2" xfId="0" applyNumberFormat="1" applyFont="1" applyBorder="1" applyAlignment="1">
      <alignment horizontal="center"/>
    </xf>
    <xf numFmtId="165" fontId="7" fillId="2" borderId="12" xfId="0" applyNumberFormat="1" applyFont="1" applyBorder="1" applyAlignment="1">
      <alignment horizontal="center"/>
    </xf>
    <xf numFmtId="0" fontId="5" fillId="2" borderId="16" xfId="0" applyNumberFormat="1" applyFont="1" applyBorder="1" applyAlignment="1" applyProtection="1">
      <alignment horizontal="left"/>
      <protection locked="0"/>
    </xf>
    <xf numFmtId="2" fontId="5" fillId="2" borderId="3" xfId="0" applyNumberFormat="1" applyFont="1" applyBorder="1" applyAlignment="1" applyProtection="1">
      <alignment horizontal="center"/>
      <protection locked="0"/>
    </xf>
    <xf numFmtId="0" fontId="5" fillId="2" borderId="3" xfId="0" applyNumberFormat="1" applyFont="1" applyBorder="1" applyAlignment="1" applyProtection="1">
      <alignment horizontal="center"/>
      <protection locked="0"/>
    </xf>
    <xf numFmtId="164" fontId="5" fillId="2" borderId="3" xfId="0" applyNumberFormat="1" applyFont="1" applyBorder="1" applyAlignment="1" applyProtection="1">
      <alignment horizontal="center"/>
      <protection locked="0"/>
    </xf>
    <xf numFmtId="0" fontId="5" fillId="2" borderId="10" xfId="0" applyNumberFormat="1" applyFont="1" applyBorder="1" applyAlignment="1" applyProtection="1">
      <alignment horizontal="left"/>
      <protection locked="0"/>
    </xf>
    <xf numFmtId="1" fontId="5" fillId="2" borderId="3" xfId="0" applyFont="1" applyBorder="1" applyAlignment="1" applyProtection="1">
      <alignment horizontal="center"/>
      <protection locked="0"/>
    </xf>
    <xf numFmtId="0" fontId="5" fillId="2" borderId="17" xfId="0" applyNumberFormat="1" applyFont="1" applyBorder="1" applyAlignment="1" applyProtection="1">
      <alignment horizontal="left"/>
      <protection locked="0"/>
    </xf>
    <xf numFmtId="1" fontId="5" fillId="2" borderId="5" xfId="0" applyFont="1" applyBorder="1" applyAlignment="1" applyProtection="1">
      <alignment horizontal="center"/>
      <protection locked="0"/>
    </xf>
    <xf numFmtId="0" fontId="5" fillId="2" borderId="5" xfId="0" applyNumberFormat="1" applyFont="1" applyBorder="1" applyAlignment="1" applyProtection="1">
      <alignment horizontal="center"/>
      <protection locked="0"/>
    </xf>
    <xf numFmtId="164" fontId="5" fillId="2" borderId="5" xfId="0" applyNumberFormat="1" applyFont="1" applyBorder="1" applyAlignment="1" applyProtection="1">
      <alignment horizontal="center"/>
      <protection locked="0"/>
    </xf>
    <xf numFmtId="0" fontId="0" fillId="2" borderId="19" xfId="0" applyNumberFormat="1" applyBorder="1" applyProtection="1">
      <alignment horizontal="center" vertical="center"/>
      <protection locked="0"/>
    </xf>
    <xf numFmtId="0" fontId="5" fillId="2" borderId="18" xfId="0" applyNumberFormat="1" applyFont="1" applyBorder="1" applyAlignment="1" applyProtection="1">
      <alignment horizontal="left" wrapText="1" readingOrder="1"/>
      <protection locked="0"/>
    </xf>
    <xf numFmtId="0" fontId="5" fillId="2" borderId="0" xfId="0" applyNumberFormat="1" applyFont="1" applyAlignment="1" applyProtection="1">
      <alignment horizontal="left" wrapText="1" readingOrder="1"/>
      <protection locked="0"/>
    </xf>
    <xf numFmtId="0" fontId="5" fillId="2" borderId="19" xfId="0" applyNumberFormat="1" applyFont="1" applyBorder="1" applyAlignment="1" applyProtection="1">
      <alignment horizontal="left" wrapText="1" readingOrder="1"/>
      <protection locked="0"/>
    </xf>
    <xf numFmtId="0" fontId="5" fillId="2" borderId="20" xfId="0" applyNumberFormat="1" applyFont="1" applyBorder="1" applyAlignment="1" applyProtection="1">
      <alignment horizontal="left" wrapText="1" readingOrder="1"/>
      <protection locked="0"/>
    </xf>
    <xf numFmtId="0" fontId="5" fillId="2" borderId="21" xfId="0" applyNumberFormat="1" applyFont="1" applyBorder="1" applyAlignment="1" applyProtection="1">
      <alignment horizontal="left" wrapText="1" readingOrder="1"/>
      <protection locked="0"/>
    </xf>
    <xf numFmtId="0" fontId="5" fillId="2" borderId="22" xfId="0" applyNumberFormat="1" applyFont="1" applyBorder="1" applyAlignment="1" applyProtection="1">
      <alignment horizontal="left" wrapText="1" readingOrder="1"/>
      <protection locked="0"/>
    </xf>
    <xf numFmtId="1" fontId="7" fillId="2" borderId="4" xfId="0" applyFont="1" applyBorder="1" applyAlignment="1" applyProtection="1">
      <alignment horizontal="center"/>
      <protection locked="0"/>
    </xf>
    <xf numFmtId="9" fontId="7" fillId="2" borderId="4" xfId="0" applyNumberFormat="1" applyFont="1" applyBorder="1" applyAlignment="1" applyProtection="1">
      <alignment horizontal="center"/>
      <protection locked="0"/>
    </xf>
    <xf numFmtId="164" fontId="7" fillId="2" borderId="4" xfId="0" applyNumberFormat="1" applyFont="1" applyBorder="1" applyAlignment="1" applyProtection="1">
      <alignment horizontal="center"/>
      <protection locked="0"/>
    </xf>
    <xf numFmtId="1" fontId="3" fillId="2" borderId="2" xfId="0" applyFont="1" applyBorder="1" applyAlignment="1" applyProtection="1">
      <alignment horizontal="center"/>
      <protection locked="0"/>
    </xf>
    <xf numFmtId="0" fontId="3" fillId="2" borderId="4" xfId="0" applyNumberFormat="1" applyFont="1" applyBorder="1" applyAlignment="1" applyProtection="1">
      <alignment horizontal="center" vertical="center" wrapText="1"/>
      <protection locked="0"/>
    </xf>
    <xf numFmtId="0" fontId="3" fillId="2" borderId="6" xfId="0" applyNumberFormat="1" applyFont="1" applyBorder="1" applyAlignment="1" applyProtection="1">
      <alignment horizontal="center" vertical="top" readingOrder="1"/>
      <protection locked="0"/>
    </xf>
    <xf numFmtId="0" fontId="0" fillId="2" borderId="0" xfId="0" applyNumberFormat="1" applyAlignment="1" applyProtection="1">
      <alignment horizontal="center" wrapText="1"/>
      <protection locked="0"/>
    </xf>
    <xf numFmtId="0" fontId="0" fillId="2" borderId="19" xfId="0" applyNumberFormat="1" applyBorder="1" applyAlignment="1" applyProtection="1">
      <alignment horizontal="center" wrapText="1"/>
      <protection locked="0"/>
    </xf>
    <xf numFmtId="0" fontId="0" fillId="2" borderId="21" xfId="0" applyNumberFormat="1" applyBorder="1" applyAlignment="1" applyProtection="1">
      <alignment horizontal="center" wrapText="1"/>
      <protection locked="0"/>
    </xf>
    <xf numFmtId="0" fontId="0" fillId="2" borderId="22" xfId="0" applyNumberFormat="1" applyBorder="1" applyAlignment="1" applyProtection="1">
      <alignment horizontal="center" wrapText="1"/>
      <protection locked="0"/>
    </xf>
    <xf numFmtId="2" fontId="5" fillId="2" borderId="3" xfId="0" applyNumberFormat="1" applyFont="1" applyBorder="1" applyAlignment="1" applyProtection="1">
      <alignment horizontal="center" vertical="center" wrapText="1"/>
      <protection locked="0"/>
    </xf>
    <xf numFmtId="0" fontId="12" fillId="2" borderId="18" xfId="0" applyNumberFormat="1" applyFont="1" applyBorder="1" applyAlignment="1" applyProtection="1">
      <alignment horizontal="left" wrapText="1"/>
      <protection locked="0"/>
    </xf>
    <xf numFmtId="0" fontId="2" fillId="2" borderId="7" xfId="0" applyNumberFormat="1" applyFont="1" applyBorder="1" applyAlignment="1" applyProtection="1">
      <alignment horizontal="center"/>
      <protection locked="0"/>
    </xf>
    <xf numFmtId="0" fontId="2" fillId="2" borderId="13" xfId="0" applyNumberFormat="1" applyFont="1" applyBorder="1" applyAlignment="1" applyProtection="1">
      <alignment horizontal="center"/>
      <protection locked="0"/>
    </xf>
    <xf numFmtId="0" fontId="2" fillId="2" borderId="14" xfId="0" applyNumberFormat="1" applyFont="1" applyBorder="1" applyAlignment="1" applyProtection="1">
      <alignment horizontal="center"/>
      <protection locked="0"/>
    </xf>
    <xf numFmtId="0" fontId="6" fillId="2" borderId="7" xfId="0" applyNumberFormat="1" applyFont="1" applyBorder="1" applyAlignment="1">
      <alignment horizontal="center" vertical="center" wrapText="1" readingOrder="1"/>
    </xf>
    <xf numFmtId="0" fontId="6" fillId="2" borderId="14" xfId="0" applyNumberFormat="1" applyFont="1" applyBorder="1" applyAlignment="1">
      <alignment horizontal="center" vertical="center" wrapText="1" readingOrder="1"/>
    </xf>
    <xf numFmtId="164" fontId="3" fillId="2" borderId="15" xfId="0" applyNumberFormat="1" applyFont="1" applyBorder="1" applyAlignment="1">
      <alignment horizontal="right"/>
    </xf>
    <xf numFmtId="164" fontId="3" fillId="2" borderId="1" xfId="0" applyNumberFormat="1" applyFont="1" applyBorder="1" applyAlignment="1">
      <alignment horizontal="right"/>
    </xf>
    <xf numFmtId="0" fontId="3" fillId="2" borderId="26" xfId="0" applyNumberFormat="1" applyFont="1" applyBorder="1" applyAlignment="1">
      <alignment horizontal="right" wrapText="1" readingOrder="1"/>
    </xf>
    <xf numFmtId="0" fontId="3" fillId="2" borderId="3" xfId="0" applyNumberFormat="1" applyFont="1" applyBorder="1" applyAlignment="1">
      <alignment horizontal="right" wrapText="1" readingOrder="1"/>
    </xf>
    <xf numFmtId="0" fontId="0" fillId="2" borderId="18" xfId="0" applyNumberFormat="1" applyBorder="1" applyAlignment="1" applyProtection="1">
      <alignment horizontal="left"/>
      <protection locked="0"/>
    </xf>
    <xf numFmtId="1" fontId="0" fillId="2" borderId="19" xfId="0" applyBorder="1" applyAlignment="1" applyProtection="1">
      <alignment horizontal="left"/>
      <protection locked="0"/>
    </xf>
    <xf numFmtId="0" fontId="3" fillId="2" borderId="25" xfId="0" applyNumberFormat="1" applyFont="1" applyBorder="1" applyAlignment="1">
      <alignment horizontal="right" wrapText="1" readingOrder="1"/>
    </xf>
    <xf numFmtId="0" fontId="3" fillId="2" borderId="5" xfId="0" applyNumberFormat="1" applyFont="1" applyBorder="1" applyAlignment="1">
      <alignment horizontal="right" wrapText="1" readingOrder="1"/>
    </xf>
    <xf numFmtId="0" fontId="0" fillId="2" borderId="18" xfId="0" applyNumberFormat="1" applyBorder="1" applyAlignment="1" applyProtection="1">
      <alignment horizontal="left" vertical="top" readingOrder="1"/>
      <protection locked="0"/>
    </xf>
    <xf numFmtId="0" fontId="0" fillId="2" borderId="19" xfId="0" applyNumberFormat="1" applyBorder="1" applyAlignment="1" applyProtection="1">
      <alignment horizontal="left" vertical="top" readingOrder="1"/>
      <protection locked="0"/>
    </xf>
    <xf numFmtId="0" fontId="6" fillId="2" borderId="7" xfId="0" applyNumberFormat="1" applyFont="1" applyBorder="1" applyAlignment="1">
      <alignment horizontal="center" vertical="top" readingOrder="1"/>
    </xf>
    <xf numFmtId="0" fontId="6" fillId="2" borderId="13" xfId="0" applyNumberFormat="1" applyFont="1" applyBorder="1" applyAlignment="1">
      <alignment horizontal="center" vertical="top" readingOrder="1"/>
    </xf>
    <xf numFmtId="0" fontId="6" fillId="2" borderId="14" xfId="0" applyNumberFormat="1" applyFont="1" applyBorder="1" applyAlignment="1">
      <alignment horizontal="center" vertical="top" readingOrder="1"/>
    </xf>
    <xf numFmtId="0" fontId="5" fillId="2" borderId="18" xfId="0" applyNumberFormat="1" applyFont="1" applyBorder="1" applyAlignment="1" applyProtection="1">
      <alignment horizontal="left" wrapText="1" readingOrder="1"/>
      <protection locked="0"/>
    </xf>
    <xf numFmtId="0" fontId="5" fillId="2" borderId="0" xfId="0" applyNumberFormat="1" applyFont="1" applyAlignment="1" applyProtection="1">
      <alignment horizontal="left" wrapText="1" readingOrder="1"/>
      <protection locked="0"/>
    </xf>
    <xf numFmtId="0" fontId="5" fillId="2" borderId="19" xfId="0" applyNumberFormat="1" applyFont="1" applyBorder="1" applyAlignment="1" applyProtection="1">
      <alignment horizontal="left" wrapText="1" readingOrder="1"/>
      <protection locked="0"/>
    </xf>
    <xf numFmtId="0" fontId="6" fillId="2" borderId="18" xfId="0" applyNumberFormat="1" applyFont="1" applyBorder="1" applyAlignment="1">
      <alignment horizontal="center" wrapText="1"/>
    </xf>
    <xf numFmtId="0" fontId="6" fillId="2" borderId="19" xfId="0" applyNumberFormat="1" applyFont="1" applyBorder="1" applyAlignment="1">
      <alignment horizontal="center" wrapText="1"/>
    </xf>
    <xf numFmtId="0" fontId="0" fillId="2" borderId="18" xfId="0" applyNumberFormat="1" applyBorder="1" applyAlignment="1" applyProtection="1">
      <alignment horizontal="left" vertical="center"/>
      <protection locked="0"/>
    </xf>
    <xf numFmtId="0" fontId="0" fillId="2" borderId="0" xfId="0" applyNumberFormat="1" applyAlignment="1" applyProtection="1">
      <alignment horizontal="left" vertical="center"/>
      <protection locked="0"/>
    </xf>
    <xf numFmtId="0" fontId="0" fillId="2" borderId="19" xfId="0" applyNumberFormat="1" applyBorder="1" applyAlignment="1" applyProtection="1">
      <alignment horizontal="left" vertical="center"/>
      <protection locked="0"/>
    </xf>
    <xf numFmtId="0" fontId="6" fillId="2" borderId="9" xfId="0" applyNumberFormat="1" applyFont="1" applyBorder="1" applyAlignment="1" applyProtection="1">
      <alignment horizontal="center" wrapText="1" readingOrder="1"/>
      <protection locked="0"/>
    </xf>
    <xf numFmtId="0" fontId="6" fillId="2" borderId="24" xfId="0" applyNumberFormat="1" applyFont="1" applyBorder="1" applyAlignment="1" applyProtection="1">
      <alignment horizontal="center" wrapText="1" readingOrder="1"/>
      <protection locked="0"/>
    </xf>
    <xf numFmtId="7" fontId="7" fillId="2" borderId="9" xfId="0" applyNumberFormat="1" applyFont="1" applyBorder="1" applyAlignment="1">
      <alignment horizontal="center"/>
    </xf>
    <xf numFmtId="7" fontId="7" fillId="2" borderId="15" xfId="0" applyNumberFormat="1" applyFont="1" applyBorder="1" applyAlignment="1">
      <alignment horizontal="center"/>
    </xf>
    <xf numFmtId="0" fontId="8" fillId="2" borderId="16" xfId="0" applyNumberFormat="1" applyFont="1" applyBorder="1" applyAlignment="1" applyProtection="1">
      <alignment horizontal="left" vertical="top" wrapText="1"/>
      <protection locked="0"/>
    </xf>
    <xf numFmtId="0" fontId="8" fillId="2" borderId="4" xfId="0" applyNumberFormat="1" applyFont="1" applyBorder="1" applyAlignment="1" applyProtection="1">
      <alignment horizontal="left" vertical="top" wrapText="1"/>
      <protection locked="0"/>
    </xf>
    <xf numFmtId="7" fontId="7" fillId="2" borderId="10" xfId="0" applyNumberFormat="1" applyFont="1" applyBorder="1" applyAlignment="1">
      <alignment horizontal="center"/>
    </xf>
    <xf numFmtId="7" fontId="7" fillId="2" borderId="26" xfId="0" applyNumberFormat="1" applyFont="1" applyBorder="1" applyAlignment="1">
      <alignment horizontal="center"/>
    </xf>
    <xf numFmtId="0" fontId="8" fillId="2" borderId="23" xfId="0" applyNumberFormat="1" applyFont="1" applyBorder="1" applyAlignment="1" applyProtection="1">
      <alignment horizontal="left" vertical="top" wrapText="1"/>
      <protection locked="0"/>
    </xf>
    <xf numFmtId="0" fontId="8" fillId="2" borderId="12" xfId="0" applyNumberFormat="1" applyFont="1" applyBorder="1" applyAlignment="1" applyProtection="1">
      <alignment horizontal="left" vertical="top" wrapText="1"/>
      <protection locked="0"/>
    </xf>
    <xf numFmtId="0" fontId="7" fillId="2" borderId="11" xfId="0" applyNumberFormat="1" applyFont="1" applyBorder="1" applyAlignment="1">
      <alignment horizontal="center"/>
    </xf>
    <xf numFmtId="0" fontId="7" fillId="2" borderId="27" xfId="0" applyNumberFormat="1" applyFont="1" applyBorder="1" applyAlignment="1">
      <alignment horizontal="center"/>
    </xf>
  </cellXfs>
  <cellStyles count="3">
    <cellStyle name="Normal" xfId="0" builtinId="0"/>
    <cellStyle name="Normal 2" xfId="1" xr:uid="{00000000-0005-0000-0000-000001000000}"/>
    <cellStyle name="Normal 3" xfId="2" xr:uid="{00000000-0005-0000-0000-000002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evysource.levyrestaurants.com\C4\SEGroupCulinary\Filing%20Cabinet\2011%20NEW%20Global%20Recipe%20Format\Recipe%20Templat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ion Spec"/>
      <sheetName val="Batch Recipe"/>
      <sheetName val="Recipe Development"/>
    </sheetNames>
    <sheetDataSet>
      <sheetData sheetId="0"/>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5D27B-6911-4B56-AC51-F35291CB603A}">
  <sheetPr codeName="Sheet1">
    <tabColor rgb="FF00FF00"/>
    <pageSetUpPr fitToPage="1"/>
  </sheetPr>
  <dimension ref="A1:E59"/>
  <sheetViews>
    <sheetView tabSelected="1" zoomScale="75" zoomScaleNormal="75" workbookViewId="0">
      <selection activeCell="B1" sqref="B1:E1"/>
    </sheetView>
  </sheetViews>
  <sheetFormatPr defaultColWidth="9.5546875" defaultRowHeight="15" x14ac:dyDescent="0.2"/>
  <cols>
    <col min="1" max="1" width="58.6640625" style="7" customWidth="1"/>
    <col min="2" max="2" width="21.77734375" style="1" customWidth="1"/>
    <col min="3" max="5" width="16.77734375" style="1" customWidth="1"/>
    <col min="6" max="16384" width="9.5546875" style="1"/>
  </cols>
  <sheetData>
    <row r="1" spans="1:5" ht="30" x14ac:dyDescent="0.4">
      <c r="A1" s="8" t="s">
        <v>67</v>
      </c>
      <c r="B1" s="41" t="s">
        <v>70</v>
      </c>
      <c r="C1" s="42"/>
      <c r="D1" s="42"/>
      <c r="E1" s="43"/>
    </row>
    <row r="2" spans="1:5" s="4" customFormat="1" ht="23.25" x14ac:dyDescent="0.35">
      <c r="A2" s="9" t="s">
        <v>0</v>
      </c>
      <c r="B2" s="2" t="s">
        <v>1</v>
      </c>
      <c r="C2" s="2" t="s">
        <v>2</v>
      </c>
      <c r="D2" s="2" t="s">
        <v>3</v>
      </c>
      <c r="E2" s="3" t="s">
        <v>4</v>
      </c>
    </row>
    <row r="3" spans="1:5" ht="19.5" customHeight="1" x14ac:dyDescent="0.25">
      <c r="A3" s="12" t="s">
        <v>5</v>
      </c>
      <c r="B3" s="13">
        <v>10</v>
      </c>
      <c r="C3" s="14" t="s">
        <v>6</v>
      </c>
      <c r="D3" s="15"/>
      <c r="E3" s="5"/>
    </row>
    <row r="4" spans="1:5" ht="19.5" customHeight="1" x14ac:dyDescent="0.25">
      <c r="A4" s="12" t="s">
        <v>7</v>
      </c>
      <c r="B4" s="39">
        <v>0.5</v>
      </c>
      <c r="C4" s="39" t="s">
        <v>6</v>
      </c>
      <c r="D4" s="15"/>
      <c r="E4" s="5"/>
    </row>
    <row r="5" spans="1:5" ht="19.5" customHeight="1" x14ac:dyDescent="0.25">
      <c r="A5" s="16" t="s">
        <v>8</v>
      </c>
      <c r="B5" s="39">
        <v>1</v>
      </c>
      <c r="C5" s="39" t="s">
        <v>9</v>
      </c>
      <c r="D5" s="15"/>
      <c r="E5" s="5"/>
    </row>
    <row r="6" spans="1:5" ht="19.5" customHeight="1" x14ac:dyDescent="0.25">
      <c r="A6" s="12"/>
      <c r="B6" s="39"/>
      <c r="C6" s="39"/>
      <c r="D6" s="15"/>
      <c r="E6" s="5"/>
    </row>
    <row r="7" spans="1:5" ht="19.5" customHeight="1" x14ac:dyDescent="0.25">
      <c r="A7" s="12"/>
      <c r="B7" s="13"/>
      <c r="C7" s="14"/>
      <c r="D7" s="15"/>
      <c r="E7" s="5"/>
    </row>
    <row r="8" spans="1:5" ht="19.5" customHeight="1" x14ac:dyDescent="0.25">
      <c r="A8" s="12"/>
      <c r="B8" s="13"/>
      <c r="C8" s="14"/>
      <c r="D8" s="15"/>
      <c r="E8" s="5"/>
    </row>
    <row r="9" spans="1:5" ht="19.5" customHeight="1" x14ac:dyDescent="0.25">
      <c r="A9" s="12"/>
      <c r="B9" s="13"/>
      <c r="C9" s="14"/>
      <c r="D9" s="15"/>
      <c r="E9" s="5"/>
    </row>
    <row r="10" spans="1:5" ht="19.5" customHeight="1" x14ac:dyDescent="0.25">
      <c r="A10" s="12"/>
      <c r="B10" s="13"/>
      <c r="C10" s="14"/>
      <c r="D10" s="15"/>
      <c r="E10" s="5"/>
    </row>
    <row r="11" spans="1:5" ht="19.5" customHeight="1" x14ac:dyDescent="0.25">
      <c r="A11" s="12"/>
      <c r="B11" s="13"/>
      <c r="C11" s="14"/>
      <c r="D11" s="15"/>
      <c r="E11" s="5"/>
    </row>
    <row r="12" spans="1:5" ht="19.5" customHeight="1" x14ac:dyDescent="0.25">
      <c r="A12" s="12"/>
      <c r="B12" s="13"/>
      <c r="C12" s="14"/>
      <c r="D12" s="15"/>
      <c r="E12" s="5"/>
    </row>
    <row r="13" spans="1:5" ht="19.5" customHeight="1" x14ac:dyDescent="0.25">
      <c r="A13" s="12"/>
      <c r="B13" s="13"/>
      <c r="C13" s="14"/>
      <c r="D13" s="15"/>
      <c r="E13" s="5"/>
    </row>
    <row r="14" spans="1:5" ht="19.5" customHeight="1" x14ac:dyDescent="0.25">
      <c r="A14" s="12"/>
      <c r="B14" s="17"/>
      <c r="C14" s="14"/>
      <c r="D14" s="15"/>
      <c r="E14" s="5"/>
    </row>
    <row r="15" spans="1:5" ht="19.5" customHeight="1" x14ac:dyDescent="0.25">
      <c r="A15" s="12"/>
      <c r="B15" s="17"/>
      <c r="C15" s="14"/>
      <c r="D15" s="15"/>
      <c r="E15" s="5"/>
    </row>
    <row r="16" spans="1:5" ht="19.5" customHeight="1" x14ac:dyDescent="0.25">
      <c r="A16" s="12"/>
      <c r="B16" s="13"/>
      <c r="C16" s="14"/>
      <c r="D16" s="15"/>
      <c r="E16" s="5"/>
    </row>
    <row r="17" spans="1:5" ht="19.5" customHeight="1" x14ac:dyDescent="0.25">
      <c r="A17" s="12"/>
      <c r="B17" s="17"/>
      <c r="C17" s="14"/>
      <c r="D17" s="15"/>
      <c r="E17" s="5"/>
    </row>
    <row r="18" spans="1:5" ht="19.5" customHeight="1" x14ac:dyDescent="0.25">
      <c r="A18" s="12"/>
      <c r="B18" s="13"/>
      <c r="C18" s="14"/>
      <c r="D18" s="15"/>
      <c r="E18" s="5"/>
    </row>
    <row r="19" spans="1:5" ht="19.5" customHeight="1" x14ac:dyDescent="0.25">
      <c r="A19" s="12"/>
      <c r="B19" s="13"/>
      <c r="C19" s="14"/>
      <c r="D19" s="15"/>
      <c r="E19" s="5"/>
    </row>
    <row r="20" spans="1:5" ht="19.5" customHeight="1" x14ac:dyDescent="0.25">
      <c r="A20" s="18"/>
      <c r="B20" s="19"/>
      <c r="C20" s="20"/>
      <c r="D20" s="21"/>
      <c r="E20" s="5"/>
    </row>
    <row r="21" spans="1:5" ht="19.5" customHeight="1" x14ac:dyDescent="0.25">
      <c r="A21" s="12"/>
      <c r="B21" s="13"/>
      <c r="C21" s="14"/>
      <c r="D21" s="15"/>
      <c r="E21" s="5"/>
    </row>
    <row r="22" spans="1:5" ht="19.5" customHeight="1" x14ac:dyDescent="0.25">
      <c r="A22" s="12"/>
      <c r="B22" s="13"/>
      <c r="C22" s="14"/>
      <c r="D22" s="15"/>
      <c r="E22" s="5"/>
    </row>
    <row r="23" spans="1:5" ht="19.5" customHeight="1" x14ac:dyDescent="0.25">
      <c r="A23" s="18"/>
      <c r="B23" s="19"/>
      <c r="C23" s="20"/>
      <c r="D23" s="21"/>
      <c r="E23" s="5"/>
    </row>
    <row r="24" spans="1:5" ht="17.25" customHeight="1" x14ac:dyDescent="0.25">
      <c r="A24" s="18"/>
      <c r="B24" s="19"/>
      <c r="C24" s="20"/>
      <c r="D24" s="21"/>
      <c r="E24" s="5"/>
    </row>
    <row r="25" spans="1:5" ht="23.25" customHeight="1" x14ac:dyDescent="0.25">
      <c r="A25" s="18"/>
      <c r="B25" s="19"/>
      <c r="C25" s="20"/>
      <c r="D25" s="21"/>
      <c r="E25" s="5"/>
    </row>
    <row r="26" spans="1:5" ht="20.25" customHeight="1" x14ac:dyDescent="0.35">
      <c r="A26" s="44" t="s">
        <v>10</v>
      </c>
      <c r="B26" s="45"/>
      <c r="C26" s="46" t="s">
        <v>11</v>
      </c>
      <c r="D26" s="47"/>
      <c r="E26" s="32">
        <v>1</v>
      </c>
    </row>
    <row r="27" spans="1:5" ht="409.5" customHeight="1" x14ac:dyDescent="0.35">
      <c r="A27" s="40" t="s">
        <v>12</v>
      </c>
      <c r="B27" s="22"/>
      <c r="C27" s="48" t="s">
        <v>13</v>
      </c>
      <c r="D27" s="49"/>
      <c r="E27" s="33" t="s">
        <v>14</v>
      </c>
    </row>
    <row r="28" spans="1:5" ht="12.75" customHeight="1" x14ac:dyDescent="0.35">
      <c r="A28" s="50"/>
      <c r="B28" s="51"/>
      <c r="C28" s="52" t="s">
        <v>15</v>
      </c>
      <c r="D28" s="53"/>
      <c r="E28" s="34" t="s">
        <v>16</v>
      </c>
    </row>
    <row r="29" spans="1:5" ht="18" customHeight="1" x14ac:dyDescent="0.2">
      <c r="A29" s="54"/>
      <c r="B29" s="55"/>
      <c r="C29" s="56" t="s">
        <v>17</v>
      </c>
      <c r="D29" s="57"/>
      <c r="E29" s="58"/>
    </row>
    <row r="30" spans="1:5" ht="18" x14ac:dyDescent="0.25">
      <c r="A30" s="50"/>
      <c r="B30" s="51"/>
      <c r="C30" s="59"/>
      <c r="D30" s="60"/>
      <c r="E30" s="61"/>
    </row>
    <row r="31" spans="1:5" ht="17.100000000000001" customHeight="1" x14ac:dyDescent="0.25">
      <c r="A31" s="50"/>
      <c r="B31" s="51"/>
      <c r="C31" s="59"/>
      <c r="D31" s="60"/>
      <c r="E31" s="61"/>
    </row>
    <row r="32" spans="1:5" ht="17.100000000000001" customHeight="1" x14ac:dyDescent="0.25">
      <c r="A32" s="54"/>
      <c r="B32" s="55"/>
      <c r="C32" s="59"/>
      <c r="D32" s="60"/>
      <c r="E32" s="61"/>
    </row>
    <row r="33" spans="1:5" ht="22.5" customHeight="1" x14ac:dyDescent="0.25">
      <c r="A33" s="50"/>
      <c r="B33" s="51"/>
      <c r="C33" s="59"/>
      <c r="D33" s="60"/>
      <c r="E33" s="61"/>
    </row>
    <row r="34" spans="1:5" ht="21.75" customHeight="1" x14ac:dyDescent="0.35">
      <c r="A34" s="62" t="s">
        <v>18</v>
      </c>
      <c r="B34" s="63"/>
      <c r="C34" s="59" t="s">
        <v>19</v>
      </c>
      <c r="D34" s="60"/>
      <c r="E34" s="61"/>
    </row>
    <row r="35" spans="1:5" ht="16.5" customHeight="1" x14ac:dyDescent="0.25">
      <c r="A35" s="35"/>
      <c r="B35" s="36"/>
      <c r="C35" s="59"/>
      <c r="D35" s="60"/>
      <c r="E35" s="61"/>
    </row>
    <row r="36" spans="1:5" ht="16.5" customHeight="1" x14ac:dyDescent="0.25">
      <c r="A36" s="35"/>
      <c r="B36" s="36"/>
      <c r="C36" s="59"/>
      <c r="D36" s="60"/>
      <c r="E36" s="61"/>
    </row>
    <row r="37" spans="1:5" ht="16.5" customHeight="1" x14ac:dyDescent="0.25">
      <c r="A37" s="35"/>
      <c r="B37" s="36"/>
      <c r="C37" s="59"/>
      <c r="D37" s="60"/>
      <c r="E37" s="61"/>
    </row>
    <row r="38" spans="1:5" ht="0.75" customHeight="1" x14ac:dyDescent="0.25">
      <c r="A38" s="35"/>
      <c r="B38" s="36"/>
      <c r="C38" s="59"/>
      <c r="D38" s="60"/>
      <c r="E38" s="61"/>
    </row>
    <row r="39" spans="1:5" ht="3" customHeight="1" x14ac:dyDescent="0.25">
      <c r="A39" s="35"/>
      <c r="B39" s="36"/>
      <c r="C39" s="59"/>
      <c r="D39" s="60"/>
      <c r="E39" s="61"/>
    </row>
    <row r="40" spans="1:5" ht="16.5" hidden="1" customHeight="1" x14ac:dyDescent="0.25">
      <c r="A40" s="35"/>
      <c r="B40" s="36"/>
      <c r="C40" s="59"/>
      <c r="D40" s="60"/>
      <c r="E40" s="61"/>
    </row>
    <row r="41" spans="1:5" ht="3" customHeight="1" x14ac:dyDescent="0.25">
      <c r="A41" s="35"/>
      <c r="B41" s="36"/>
      <c r="C41" s="23"/>
      <c r="D41" s="24"/>
      <c r="E41" s="25"/>
    </row>
    <row r="42" spans="1:5" ht="23.25" customHeight="1" x14ac:dyDescent="0.25">
      <c r="A42" s="35"/>
      <c r="B42" s="36"/>
      <c r="C42" s="59"/>
      <c r="D42" s="60"/>
      <c r="E42" s="61"/>
    </row>
    <row r="43" spans="1:5" ht="3" hidden="1" customHeight="1" x14ac:dyDescent="0.25">
      <c r="A43" s="35"/>
      <c r="B43" s="36"/>
      <c r="C43" s="26"/>
      <c r="D43" s="27"/>
      <c r="E43" s="28"/>
    </row>
    <row r="44" spans="1:5" ht="20.25" customHeight="1" x14ac:dyDescent="0.2">
      <c r="A44" s="35"/>
      <c r="B44" s="36"/>
      <c r="C44" s="56" t="s">
        <v>20</v>
      </c>
      <c r="D44" s="57"/>
      <c r="E44" s="58"/>
    </row>
    <row r="45" spans="1:5" ht="16.5" hidden="1" customHeight="1" x14ac:dyDescent="0.2">
      <c r="A45" s="35"/>
      <c r="B45" s="36"/>
      <c r="C45" s="64" t="s">
        <v>21</v>
      </c>
      <c r="D45" s="65"/>
      <c r="E45" s="66"/>
    </row>
    <row r="46" spans="1:5" ht="0.75" customHeight="1" x14ac:dyDescent="0.2">
      <c r="A46" s="35"/>
      <c r="B46" s="36"/>
      <c r="C46" s="64"/>
      <c r="D46" s="65"/>
      <c r="E46" s="66"/>
    </row>
    <row r="47" spans="1:5" ht="16.5" customHeight="1" x14ac:dyDescent="0.2">
      <c r="A47" s="35"/>
      <c r="B47" s="36"/>
      <c r="C47" s="64"/>
      <c r="D47" s="65"/>
      <c r="E47" s="66"/>
    </row>
    <row r="48" spans="1:5" ht="16.5" customHeight="1" x14ac:dyDescent="0.2">
      <c r="A48" s="35"/>
      <c r="B48" s="36"/>
      <c r="C48" s="64"/>
      <c r="D48" s="65"/>
      <c r="E48" s="66"/>
    </row>
    <row r="49" spans="1:5" ht="16.5" customHeight="1" x14ac:dyDescent="0.2">
      <c r="A49" s="35"/>
      <c r="B49" s="36"/>
      <c r="C49" s="64"/>
      <c r="D49" s="65"/>
      <c r="E49" s="66"/>
    </row>
    <row r="50" spans="1:5" ht="16.5" customHeight="1" x14ac:dyDescent="0.2">
      <c r="A50" s="35"/>
      <c r="B50" s="36"/>
      <c r="C50" s="64"/>
      <c r="D50" s="65"/>
      <c r="E50" s="66"/>
    </row>
    <row r="51" spans="1:5" x14ac:dyDescent="0.2">
      <c r="A51" s="35"/>
      <c r="B51" s="36"/>
      <c r="C51" s="64"/>
      <c r="D51" s="65"/>
      <c r="E51" s="66"/>
    </row>
    <row r="52" spans="1:5" ht="18.75" hidden="1" customHeight="1" x14ac:dyDescent="0.2">
      <c r="A52" s="37"/>
      <c r="B52" s="38"/>
      <c r="C52" s="64"/>
      <c r="D52" s="65"/>
      <c r="E52" s="66"/>
    </row>
    <row r="53" spans="1:5" ht="18.75" customHeight="1" x14ac:dyDescent="0.35">
      <c r="A53" s="67" t="s">
        <v>22</v>
      </c>
      <c r="B53" s="68"/>
      <c r="C53" s="69" t="s">
        <v>23</v>
      </c>
      <c r="D53" s="70"/>
      <c r="E53" s="10">
        <f>SUM(E3:E25)</f>
        <v>0</v>
      </c>
    </row>
    <row r="54" spans="1:5" ht="18.75" customHeight="1" x14ac:dyDescent="0.25">
      <c r="A54" s="71" t="s">
        <v>24</v>
      </c>
      <c r="B54" s="72"/>
      <c r="C54" s="73" t="s">
        <v>25</v>
      </c>
      <c r="D54" s="74"/>
      <c r="E54" s="29">
        <v>128</v>
      </c>
    </row>
    <row r="55" spans="1:5" ht="18.75" customHeight="1" x14ac:dyDescent="0.25">
      <c r="A55" s="71" t="s">
        <v>26</v>
      </c>
      <c r="B55" s="72"/>
      <c r="C55" s="73" t="s">
        <v>27</v>
      </c>
      <c r="D55" s="74"/>
      <c r="E55" s="6">
        <f>SUM(E53/E54)</f>
        <v>0</v>
      </c>
    </row>
    <row r="56" spans="1:5" ht="18.75" customHeight="1" x14ac:dyDescent="0.25">
      <c r="A56" s="71" t="s">
        <v>28</v>
      </c>
      <c r="B56" s="72"/>
      <c r="C56" s="73" t="s">
        <v>29</v>
      </c>
      <c r="D56" s="74"/>
      <c r="E56" s="30">
        <v>0.06</v>
      </c>
    </row>
    <row r="57" spans="1:5" ht="18.75" customHeight="1" x14ac:dyDescent="0.25">
      <c r="A57" s="71" t="s">
        <v>30</v>
      </c>
      <c r="B57" s="72"/>
      <c r="C57" s="73" t="s">
        <v>4</v>
      </c>
      <c r="D57" s="74"/>
      <c r="E57" s="6">
        <f>(+E55*E56)+E55</f>
        <v>0</v>
      </c>
    </row>
    <row r="58" spans="1:5" ht="19.5" customHeight="1" x14ac:dyDescent="0.25">
      <c r="A58" s="71" t="s">
        <v>31</v>
      </c>
      <c r="B58" s="72"/>
      <c r="C58" s="73" t="s">
        <v>32</v>
      </c>
      <c r="D58" s="74"/>
      <c r="E58" s="31">
        <v>9</v>
      </c>
    </row>
    <row r="59" spans="1:5" ht="16.5" x14ac:dyDescent="0.25">
      <c r="A59" s="75" t="s">
        <v>33</v>
      </c>
      <c r="B59" s="76"/>
      <c r="C59" s="77" t="s">
        <v>34</v>
      </c>
      <c r="D59" s="78"/>
      <c r="E59" s="11">
        <f>SUM(E57/E58)</f>
        <v>0</v>
      </c>
    </row>
  </sheetData>
  <mergeCells count="48">
    <mergeCell ref="A57:B57"/>
    <mergeCell ref="C57:D57"/>
    <mergeCell ref="A58:B58"/>
    <mergeCell ref="C58:D58"/>
    <mergeCell ref="A59:B59"/>
    <mergeCell ref="C59:D59"/>
    <mergeCell ref="A54:B54"/>
    <mergeCell ref="C54:D54"/>
    <mergeCell ref="A55:B55"/>
    <mergeCell ref="C55:D55"/>
    <mergeCell ref="A56:B56"/>
    <mergeCell ref="C56:D56"/>
    <mergeCell ref="C49:E49"/>
    <mergeCell ref="C50:E50"/>
    <mergeCell ref="C51:E51"/>
    <mergeCell ref="C52:E52"/>
    <mergeCell ref="A53:B53"/>
    <mergeCell ref="C53:D53"/>
    <mergeCell ref="C48:E48"/>
    <mergeCell ref="C35:E35"/>
    <mergeCell ref="C36:E36"/>
    <mergeCell ref="C37:E37"/>
    <mergeCell ref="C38:E38"/>
    <mergeCell ref="C39:E39"/>
    <mergeCell ref="C40:E40"/>
    <mergeCell ref="C42:E42"/>
    <mergeCell ref="C44:E44"/>
    <mergeCell ref="C45:E45"/>
    <mergeCell ref="C46:E46"/>
    <mergeCell ref="C47:E47"/>
    <mergeCell ref="A32:B32"/>
    <mergeCell ref="C32:E32"/>
    <mergeCell ref="A33:B33"/>
    <mergeCell ref="C33:E33"/>
    <mergeCell ref="A34:B34"/>
    <mergeCell ref="C34:E34"/>
    <mergeCell ref="A29:B29"/>
    <mergeCell ref="C29:E29"/>
    <mergeCell ref="A30:B30"/>
    <mergeCell ref="C30:E30"/>
    <mergeCell ref="A31:B31"/>
    <mergeCell ref="C31:E31"/>
    <mergeCell ref="B1:E1"/>
    <mergeCell ref="A26:B26"/>
    <mergeCell ref="C26:D26"/>
    <mergeCell ref="C27:D27"/>
    <mergeCell ref="A28:B28"/>
    <mergeCell ref="C28:D28"/>
  </mergeCells>
  <phoneticPr fontId="9" type="noConversion"/>
  <printOptions horizontalCentered="1" verticalCentered="1"/>
  <pageMargins left="0" right="0" top="0.25" bottom="0.25" header="0.5" footer="0.5"/>
  <pageSetup scale="65"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0000FF"/>
    <pageSetUpPr fitToPage="1"/>
  </sheetPr>
  <dimension ref="A1:E59"/>
  <sheetViews>
    <sheetView zoomScale="75" zoomScaleNormal="75" workbookViewId="0"/>
  </sheetViews>
  <sheetFormatPr defaultColWidth="9.5546875" defaultRowHeight="15" x14ac:dyDescent="0.2"/>
  <cols>
    <col min="1" max="1" width="58.6640625" style="7" customWidth="1"/>
    <col min="2" max="2" width="21.77734375" style="1" customWidth="1"/>
    <col min="3" max="5" width="16.77734375" style="1" customWidth="1"/>
    <col min="6" max="16384" width="9.5546875" style="1"/>
  </cols>
  <sheetData>
    <row r="1" spans="1:5" ht="30.75" thickBot="1" x14ac:dyDescent="0.45">
      <c r="A1" s="8" t="s">
        <v>69</v>
      </c>
      <c r="B1" s="41" t="s">
        <v>68</v>
      </c>
      <c r="C1" s="42"/>
      <c r="D1" s="42"/>
      <c r="E1" s="43"/>
    </row>
    <row r="2" spans="1:5" s="4" customFormat="1" ht="23.25" x14ac:dyDescent="0.35">
      <c r="A2" s="9" t="s">
        <v>0</v>
      </c>
      <c r="B2" s="2" t="s">
        <v>1</v>
      </c>
      <c r="C2" s="2" t="s">
        <v>2</v>
      </c>
      <c r="D2" s="2" t="s">
        <v>3</v>
      </c>
      <c r="E2" s="3" t="s">
        <v>4</v>
      </c>
    </row>
    <row r="3" spans="1:5" ht="19.5" customHeight="1" x14ac:dyDescent="0.25">
      <c r="A3" s="12" t="s">
        <v>35</v>
      </c>
      <c r="B3" s="13">
        <v>10</v>
      </c>
      <c r="C3" s="14" t="s">
        <v>36</v>
      </c>
      <c r="D3" s="15">
        <v>5.59</v>
      </c>
      <c r="E3" s="5">
        <f t="shared" ref="E3:E25" si="0">SUM(B3*D3)</f>
        <v>55.9</v>
      </c>
    </row>
    <row r="4" spans="1:5" ht="19.5" customHeight="1" x14ac:dyDescent="0.25">
      <c r="A4" s="12" t="s">
        <v>37</v>
      </c>
      <c r="B4" s="39">
        <v>5</v>
      </c>
      <c r="C4" s="39" t="s">
        <v>36</v>
      </c>
      <c r="D4" s="15">
        <v>4.5</v>
      </c>
      <c r="E4" s="5">
        <f t="shared" si="0"/>
        <v>22.5</v>
      </c>
    </row>
    <row r="5" spans="1:5" ht="19.5" customHeight="1" x14ac:dyDescent="0.25">
      <c r="A5" s="16" t="s">
        <v>38</v>
      </c>
      <c r="B5" s="39">
        <v>10</v>
      </c>
      <c r="C5" s="39" t="s">
        <v>39</v>
      </c>
      <c r="D5" s="15">
        <v>0.28000000000000003</v>
      </c>
      <c r="E5" s="5">
        <f t="shared" si="0"/>
        <v>2.8000000000000003</v>
      </c>
    </row>
    <row r="6" spans="1:5" ht="19.5" customHeight="1" x14ac:dyDescent="0.25">
      <c r="A6" s="12" t="s">
        <v>40</v>
      </c>
      <c r="B6" s="39">
        <v>8</v>
      </c>
      <c r="C6" s="39" t="s">
        <v>39</v>
      </c>
      <c r="D6" s="15">
        <v>0.6</v>
      </c>
      <c r="E6" s="5">
        <f t="shared" si="0"/>
        <v>4.8</v>
      </c>
    </row>
    <row r="7" spans="1:5" ht="19.5" customHeight="1" x14ac:dyDescent="0.25">
      <c r="A7" s="12" t="s">
        <v>41</v>
      </c>
      <c r="B7" s="13">
        <v>2</v>
      </c>
      <c r="C7" s="14" t="s">
        <v>42</v>
      </c>
      <c r="D7" s="15">
        <v>19.7</v>
      </c>
      <c r="E7" s="5">
        <f t="shared" si="0"/>
        <v>39.4</v>
      </c>
    </row>
    <row r="8" spans="1:5" ht="19.5" customHeight="1" x14ac:dyDescent="0.25">
      <c r="A8" s="12" t="s">
        <v>43</v>
      </c>
      <c r="B8" s="13">
        <v>1</v>
      </c>
      <c r="C8" s="14" t="s">
        <v>44</v>
      </c>
      <c r="D8" s="15">
        <v>8.1999999999999993</v>
      </c>
      <c r="E8" s="5">
        <f t="shared" si="0"/>
        <v>8.1999999999999993</v>
      </c>
    </row>
    <row r="9" spans="1:5" ht="19.5" customHeight="1" x14ac:dyDescent="0.25">
      <c r="A9" s="12" t="s">
        <v>45</v>
      </c>
      <c r="B9" s="13">
        <v>1</v>
      </c>
      <c r="C9" s="14" t="s">
        <v>44</v>
      </c>
      <c r="D9" s="15">
        <v>7.12</v>
      </c>
      <c r="E9" s="5">
        <f t="shared" si="0"/>
        <v>7.12</v>
      </c>
    </row>
    <row r="10" spans="1:5" ht="19.5" customHeight="1" x14ac:dyDescent="0.25">
      <c r="A10" s="12" t="s">
        <v>46</v>
      </c>
      <c r="B10" s="13">
        <v>2</v>
      </c>
      <c r="C10" s="14" t="s">
        <v>47</v>
      </c>
      <c r="D10" s="15">
        <v>2</v>
      </c>
      <c r="E10" s="5">
        <f t="shared" si="0"/>
        <v>4</v>
      </c>
    </row>
    <row r="11" spans="1:5" ht="19.5" customHeight="1" x14ac:dyDescent="0.25">
      <c r="A11" s="12" t="s">
        <v>48</v>
      </c>
      <c r="B11" s="13">
        <v>0.5</v>
      </c>
      <c r="C11" s="14" t="s">
        <v>49</v>
      </c>
      <c r="D11" s="15">
        <v>3.2</v>
      </c>
      <c r="E11" s="5">
        <f t="shared" ref="E11:E15" si="1">SUM(B11*D11)</f>
        <v>1.6</v>
      </c>
    </row>
    <row r="12" spans="1:5" ht="19.5" customHeight="1" x14ac:dyDescent="0.25">
      <c r="A12" s="12" t="s">
        <v>50</v>
      </c>
      <c r="B12" s="13">
        <v>0.25</v>
      </c>
      <c r="C12" s="14" t="s">
        <v>49</v>
      </c>
      <c r="D12" s="15">
        <v>0.88</v>
      </c>
      <c r="E12" s="5">
        <f t="shared" si="1"/>
        <v>0.22</v>
      </c>
    </row>
    <row r="13" spans="1:5" ht="19.5" customHeight="1" x14ac:dyDescent="0.25">
      <c r="A13" s="12" t="s">
        <v>51</v>
      </c>
      <c r="B13" s="13">
        <v>0.25</v>
      </c>
      <c r="C13" s="14" t="s">
        <v>47</v>
      </c>
      <c r="D13" s="15">
        <v>1.28</v>
      </c>
      <c r="E13" s="5">
        <f t="shared" si="1"/>
        <v>0.32</v>
      </c>
    </row>
    <row r="14" spans="1:5" ht="19.5" customHeight="1" x14ac:dyDescent="0.25">
      <c r="A14" s="12" t="s">
        <v>52</v>
      </c>
      <c r="B14" s="17">
        <v>4</v>
      </c>
      <c r="C14" s="14" t="s">
        <v>6</v>
      </c>
      <c r="D14" s="15">
        <v>0.55000000000000004</v>
      </c>
      <c r="E14" s="5">
        <f t="shared" si="1"/>
        <v>2.2000000000000002</v>
      </c>
    </row>
    <row r="15" spans="1:5" ht="19.5" customHeight="1" x14ac:dyDescent="0.25">
      <c r="A15" s="12" t="s">
        <v>53</v>
      </c>
      <c r="B15" s="17">
        <v>10</v>
      </c>
      <c r="C15" s="14" t="s">
        <v>54</v>
      </c>
      <c r="D15" s="15">
        <v>0</v>
      </c>
      <c r="E15" s="5">
        <f t="shared" si="1"/>
        <v>0</v>
      </c>
    </row>
    <row r="16" spans="1:5" ht="19.5" customHeight="1" x14ac:dyDescent="0.25">
      <c r="A16" s="12" t="s">
        <v>55</v>
      </c>
      <c r="B16" s="13">
        <v>0.75</v>
      </c>
      <c r="C16" s="14" t="s">
        <v>49</v>
      </c>
      <c r="D16" s="15">
        <v>2.92</v>
      </c>
      <c r="E16" s="5">
        <v>2.92</v>
      </c>
    </row>
    <row r="17" spans="1:5" ht="19.5" customHeight="1" x14ac:dyDescent="0.25">
      <c r="A17" s="12" t="s">
        <v>56</v>
      </c>
      <c r="B17" s="17">
        <v>1</v>
      </c>
      <c r="C17" s="14" t="s">
        <v>47</v>
      </c>
      <c r="D17" s="15">
        <v>3</v>
      </c>
      <c r="E17" s="5">
        <f t="shared" ref="E17:E20" si="2">SUM(B17*D17)</f>
        <v>3</v>
      </c>
    </row>
    <row r="18" spans="1:5" ht="19.5" customHeight="1" x14ac:dyDescent="0.25">
      <c r="A18" s="12" t="s">
        <v>57</v>
      </c>
      <c r="B18" s="13">
        <v>0.5</v>
      </c>
      <c r="C18" s="14" t="s">
        <v>49</v>
      </c>
      <c r="D18" s="15">
        <v>1.76</v>
      </c>
      <c r="E18" s="5">
        <f t="shared" si="2"/>
        <v>0.88</v>
      </c>
    </row>
    <row r="19" spans="1:5" ht="19.5" customHeight="1" x14ac:dyDescent="0.25">
      <c r="A19" s="12" t="s">
        <v>58</v>
      </c>
      <c r="B19" s="13">
        <v>0.5</v>
      </c>
      <c r="C19" s="14" t="s">
        <v>49</v>
      </c>
      <c r="D19" s="15">
        <v>5.76</v>
      </c>
      <c r="E19" s="5">
        <f t="shared" si="2"/>
        <v>2.88</v>
      </c>
    </row>
    <row r="20" spans="1:5" ht="19.5" customHeight="1" x14ac:dyDescent="0.25">
      <c r="A20" s="18" t="s">
        <v>59</v>
      </c>
      <c r="B20" s="19">
        <v>4</v>
      </c>
      <c r="C20" s="20" t="s">
        <v>6</v>
      </c>
      <c r="D20" s="21">
        <v>0.38</v>
      </c>
      <c r="E20" s="5">
        <f t="shared" si="2"/>
        <v>1.52</v>
      </c>
    </row>
    <row r="21" spans="1:5" ht="19.5" customHeight="1" x14ac:dyDescent="0.25">
      <c r="A21" s="12" t="s">
        <v>60</v>
      </c>
      <c r="B21" s="13">
        <v>2</v>
      </c>
      <c r="C21" s="14" t="s">
        <v>47</v>
      </c>
      <c r="D21" s="15">
        <v>0.64</v>
      </c>
      <c r="E21" s="5">
        <f t="shared" si="0"/>
        <v>1.28</v>
      </c>
    </row>
    <row r="22" spans="1:5" ht="19.5" customHeight="1" x14ac:dyDescent="0.25">
      <c r="A22" s="12" t="s">
        <v>61</v>
      </c>
      <c r="B22" s="13">
        <v>8</v>
      </c>
      <c r="C22" s="14" t="s">
        <v>39</v>
      </c>
      <c r="D22" s="15">
        <v>0.41</v>
      </c>
      <c r="E22" s="5">
        <f t="shared" si="0"/>
        <v>3.28</v>
      </c>
    </row>
    <row r="23" spans="1:5" ht="19.5" customHeight="1" x14ac:dyDescent="0.25">
      <c r="A23" s="18" t="s">
        <v>62</v>
      </c>
      <c r="B23" s="19">
        <v>8</v>
      </c>
      <c r="C23" s="20" t="s">
        <v>39</v>
      </c>
      <c r="D23" s="21">
        <v>0.15</v>
      </c>
      <c r="E23" s="5">
        <f t="shared" si="0"/>
        <v>1.2</v>
      </c>
    </row>
    <row r="24" spans="1:5" ht="17.25" customHeight="1" x14ac:dyDescent="0.25">
      <c r="A24" s="18" t="s">
        <v>53</v>
      </c>
      <c r="B24" s="19">
        <v>8</v>
      </c>
      <c r="C24" s="20" t="s">
        <v>54</v>
      </c>
      <c r="D24" s="21"/>
      <c r="E24" s="5">
        <f t="shared" ref="E24" si="3">SUM(B24*D24)</f>
        <v>0</v>
      </c>
    </row>
    <row r="25" spans="1:5" ht="23.25" customHeight="1" thickBot="1" x14ac:dyDescent="0.3">
      <c r="A25" s="18" t="s">
        <v>63</v>
      </c>
      <c r="B25" s="19"/>
      <c r="C25" s="20" t="s">
        <v>64</v>
      </c>
      <c r="D25" s="21"/>
      <c r="E25" s="5">
        <f t="shared" si="0"/>
        <v>0</v>
      </c>
    </row>
    <row r="26" spans="1:5" ht="20.25" customHeight="1" x14ac:dyDescent="0.35">
      <c r="A26" s="44" t="s">
        <v>10</v>
      </c>
      <c r="B26" s="45"/>
      <c r="C26" s="46" t="s">
        <v>11</v>
      </c>
      <c r="D26" s="47"/>
      <c r="E26" s="32">
        <v>6</v>
      </c>
    </row>
    <row r="27" spans="1:5" ht="409.5" customHeight="1" x14ac:dyDescent="0.35">
      <c r="A27" s="40" t="s">
        <v>65</v>
      </c>
      <c r="B27" s="22"/>
      <c r="C27" s="48" t="s">
        <v>13</v>
      </c>
      <c r="D27" s="49"/>
      <c r="E27" s="33" t="s">
        <v>66</v>
      </c>
    </row>
    <row r="28" spans="1:5" ht="12.75" customHeight="1" thickBot="1" x14ac:dyDescent="0.4">
      <c r="A28" s="50"/>
      <c r="B28" s="51"/>
      <c r="C28" s="52" t="s">
        <v>15</v>
      </c>
      <c r="D28" s="53"/>
      <c r="E28" s="34" t="s">
        <v>16</v>
      </c>
    </row>
    <row r="29" spans="1:5" ht="18" customHeight="1" x14ac:dyDescent="0.2">
      <c r="A29" s="54"/>
      <c r="B29" s="55"/>
      <c r="C29" s="56" t="s">
        <v>17</v>
      </c>
      <c r="D29" s="57"/>
      <c r="E29" s="58"/>
    </row>
    <row r="30" spans="1:5" ht="18" x14ac:dyDescent="0.25">
      <c r="A30" s="50"/>
      <c r="B30" s="51"/>
      <c r="C30" s="59"/>
      <c r="D30" s="60"/>
      <c r="E30" s="61"/>
    </row>
    <row r="31" spans="1:5" ht="17.100000000000001" customHeight="1" x14ac:dyDescent="0.25">
      <c r="A31" s="50"/>
      <c r="B31" s="51"/>
      <c r="C31" s="59"/>
      <c r="D31" s="60"/>
      <c r="E31" s="61"/>
    </row>
    <row r="32" spans="1:5" ht="17.100000000000001" customHeight="1" x14ac:dyDescent="0.25">
      <c r="A32" s="54"/>
      <c r="B32" s="55"/>
      <c r="C32" s="59"/>
      <c r="D32" s="60"/>
      <c r="E32" s="61"/>
    </row>
    <row r="33" spans="1:5" ht="22.5" customHeight="1" x14ac:dyDescent="0.25">
      <c r="A33" s="50"/>
      <c r="B33" s="51"/>
      <c r="C33" s="59"/>
      <c r="D33" s="60"/>
      <c r="E33" s="61"/>
    </row>
    <row r="34" spans="1:5" ht="21.75" customHeight="1" x14ac:dyDescent="0.35">
      <c r="A34" s="62" t="s">
        <v>18</v>
      </c>
      <c r="B34" s="63"/>
      <c r="C34" s="59" t="s">
        <v>19</v>
      </c>
      <c r="D34" s="60"/>
      <c r="E34" s="61"/>
    </row>
    <row r="35" spans="1:5" ht="16.5" customHeight="1" x14ac:dyDescent="0.25">
      <c r="A35" s="35"/>
      <c r="B35" s="36"/>
      <c r="C35" s="59"/>
      <c r="D35" s="60"/>
      <c r="E35" s="61"/>
    </row>
    <row r="36" spans="1:5" ht="16.5" customHeight="1" x14ac:dyDescent="0.25">
      <c r="A36" s="35"/>
      <c r="B36" s="36"/>
      <c r="C36" s="59"/>
      <c r="D36" s="60"/>
      <c r="E36" s="61"/>
    </row>
    <row r="37" spans="1:5" ht="16.5" customHeight="1" x14ac:dyDescent="0.25">
      <c r="A37" s="35"/>
      <c r="B37" s="36"/>
      <c r="C37" s="59"/>
      <c r="D37" s="60"/>
      <c r="E37" s="61"/>
    </row>
    <row r="38" spans="1:5" ht="0.75" customHeight="1" x14ac:dyDescent="0.25">
      <c r="A38" s="35"/>
      <c r="B38" s="36"/>
      <c r="C38" s="59"/>
      <c r="D38" s="60"/>
      <c r="E38" s="61"/>
    </row>
    <row r="39" spans="1:5" ht="3" customHeight="1" x14ac:dyDescent="0.25">
      <c r="A39" s="35"/>
      <c r="B39" s="36"/>
      <c r="C39" s="59"/>
      <c r="D39" s="60"/>
      <c r="E39" s="61"/>
    </row>
    <row r="40" spans="1:5" ht="16.5" hidden="1" customHeight="1" x14ac:dyDescent="0.25">
      <c r="A40" s="35"/>
      <c r="B40" s="36"/>
      <c r="C40" s="59"/>
      <c r="D40" s="60"/>
      <c r="E40" s="61"/>
    </row>
    <row r="41" spans="1:5" ht="3" customHeight="1" x14ac:dyDescent="0.25">
      <c r="A41" s="35"/>
      <c r="B41" s="36"/>
      <c r="C41" s="23"/>
      <c r="D41" s="24"/>
      <c r="E41" s="25"/>
    </row>
    <row r="42" spans="1:5" ht="23.25" customHeight="1" thickBot="1" x14ac:dyDescent="0.3">
      <c r="A42" s="35"/>
      <c r="B42" s="36"/>
      <c r="C42" s="59"/>
      <c r="D42" s="60"/>
      <c r="E42" s="61"/>
    </row>
    <row r="43" spans="1:5" ht="3" hidden="1" customHeight="1" thickBot="1" x14ac:dyDescent="0.3">
      <c r="A43" s="35"/>
      <c r="B43" s="36"/>
      <c r="C43" s="26"/>
      <c r="D43" s="27"/>
      <c r="E43" s="28"/>
    </row>
    <row r="44" spans="1:5" ht="20.25" customHeight="1" x14ac:dyDescent="0.2">
      <c r="A44" s="35"/>
      <c r="B44" s="36"/>
      <c r="C44" s="56" t="s">
        <v>20</v>
      </c>
      <c r="D44" s="57"/>
      <c r="E44" s="58"/>
    </row>
    <row r="45" spans="1:5" ht="16.5" hidden="1" customHeight="1" x14ac:dyDescent="0.2">
      <c r="A45" s="35"/>
      <c r="B45" s="36"/>
      <c r="C45" s="64" t="s">
        <v>21</v>
      </c>
      <c r="D45" s="65"/>
      <c r="E45" s="66"/>
    </row>
    <row r="46" spans="1:5" ht="0.75" customHeight="1" x14ac:dyDescent="0.2">
      <c r="A46" s="35"/>
      <c r="B46" s="36"/>
      <c r="C46" s="64"/>
      <c r="D46" s="65"/>
      <c r="E46" s="66"/>
    </row>
    <row r="47" spans="1:5" ht="16.5" customHeight="1" x14ac:dyDescent="0.2">
      <c r="A47" s="35"/>
      <c r="B47" s="36"/>
      <c r="C47" s="64"/>
      <c r="D47" s="65"/>
      <c r="E47" s="66"/>
    </row>
    <row r="48" spans="1:5" ht="16.5" customHeight="1" x14ac:dyDescent="0.2">
      <c r="A48" s="35"/>
      <c r="B48" s="36"/>
      <c r="C48" s="64"/>
      <c r="D48" s="65"/>
      <c r="E48" s="66"/>
    </row>
    <row r="49" spans="1:5" ht="16.5" customHeight="1" x14ac:dyDescent="0.2">
      <c r="A49" s="35"/>
      <c r="B49" s="36"/>
      <c r="C49" s="64"/>
      <c r="D49" s="65"/>
      <c r="E49" s="66"/>
    </row>
    <row r="50" spans="1:5" ht="16.5" customHeight="1" x14ac:dyDescent="0.2">
      <c r="A50" s="35"/>
      <c r="B50" s="36"/>
      <c r="C50" s="64"/>
      <c r="D50" s="65"/>
      <c r="E50" s="66"/>
    </row>
    <row r="51" spans="1:5" ht="15.75" thickBot="1" x14ac:dyDescent="0.25">
      <c r="A51" s="35"/>
      <c r="B51" s="36"/>
      <c r="C51" s="64"/>
      <c r="D51" s="65"/>
      <c r="E51" s="66"/>
    </row>
    <row r="52" spans="1:5" ht="18.75" hidden="1" customHeight="1" thickBot="1" x14ac:dyDescent="0.25">
      <c r="A52" s="37"/>
      <c r="B52" s="38"/>
      <c r="C52" s="64"/>
      <c r="D52" s="65"/>
      <c r="E52" s="66"/>
    </row>
    <row r="53" spans="1:5" ht="18.75" customHeight="1" x14ac:dyDescent="0.35">
      <c r="A53" s="67" t="s">
        <v>22</v>
      </c>
      <c r="B53" s="68"/>
      <c r="C53" s="69" t="s">
        <v>23</v>
      </c>
      <c r="D53" s="70"/>
      <c r="E53" s="10">
        <f>SUM(E3:E25)</f>
        <v>166.01999999999995</v>
      </c>
    </row>
    <row r="54" spans="1:5" ht="18.75" customHeight="1" x14ac:dyDescent="0.25">
      <c r="A54" s="71" t="s">
        <v>24</v>
      </c>
      <c r="B54" s="72"/>
      <c r="C54" s="73" t="s">
        <v>25</v>
      </c>
      <c r="D54" s="74"/>
      <c r="E54" s="29">
        <v>128</v>
      </c>
    </row>
    <row r="55" spans="1:5" ht="18.75" customHeight="1" x14ac:dyDescent="0.25">
      <c r="A55" s="71" t="s">
        <v>26</v>
      </c>
      <c r="B55" s="72"/>
      <c r="C55" s="73" t="s">
        <v>27</v>
      </c>
      <c r="D55" s="74"/>
      <c r="E55" s="6">
        <f>SUM(E53/E54)</f>
        <v>1.2970312499999996</v>
      </c>
    </row>
    <row r="56" spans="1:5" ht="18.75" customHeight="1" x14ac:dyDescent="0.25">
      <c r="A56" s="71" t="s">
        <v>28</v>
      </c>
      <c r="B56" s="72"/>
      <c r="C56" s="73" t="s">
        <v>29</v>
      </c>
      <c r="D56" s="74"/>
      <c r="E56" s="30">
        <v>0.06</v>
      </c>
    </row>
    <row r="57" spans="1:5" ht="18.75" customHeight="1" x14ac:dyDescent="0.25">
      <c r="A57" s="71" t="s">
        <v>30</v>
      </c>
      <c r="B57" s="72"/>
      <c r="C57" s="73" t="s">
        <v>4</v>
      </c>
      <c r="D57" s="74"/>
      <c r="E57" s="6">
        <f>(+E55*E56)+E55</f>
        <v>1.3748531249999996</v>
      </c>
    </row>
    <row r="58" spans="1:5" ht="19.5" customHeight="1" x14ac:dyDescent="0.25">
      <c r="A58" s="71" t="s">
        <v>31</v>
      </c>
      <c r="B58" s="72"/>
      <c r="C58" s="73" t="s">
        <v>32</v>
      </c>
      <c r="D58" s="74"/>
      <c r="E58" s="31">
        <v>9</v>
      </c>
    </row>
    <row r="59" spans="1:5" ht="17.25" thickBot="1" x14ac:dyDescent="0.3">
      <c r="A59" s="75" t="s">
        <v>33</v>
      </c>
      <c r="B59" s="76"/>
      <c r="C59" s="77" t="s">
        <v>34</v>
      </c>
      <c r="D59" s="78"/>
      <c r="E59" s="11">
        <f>SUM(E57/E58)</f>
        <v>0.15276145833333329</v>
      </c>
    </row>
  </sheetData>
  <mergeCells count="48">
    <mergeCell ref="C37:E37"/>
    <mergeCell ref="C35:E35"/>
    <mergeCell ref="C39:E39"/>
    <mergeCell ref="C54:D54"/>
    <mergeCell ref="C55:D55"/>
    <mergeCell ref="C40:E40"/>
    <mergeCell ref="C45:E45"/>
    <mergeCell ref="C46:E46"/>
    <mergeCell ref="C36:E36"/>
    <mergeCell ref="C51:E51"/>
    <mergeCell ref="C52:E52"/>
    <mergeCell ref="C50:E50"/>
    <mergeCell ref="C38:E38"/>
    <mergeCell ref="C49:E49"/>
    <mergeCell ref="C44:E44"/>
    <mergeCell ref="C42:E42"/>
    <mergeCell ref="A31:B31"/>
    <mergeCell ref="A34:B34"/>
    <mergeCell ref="A32:B32"/>
    <mergeCell ref="C31:E31"/>
    <mergeCell ref="A28:B28"/>
    <mergeCell ref="C28:D28"/>
    <mergeCell ref="A29:B29"/>
    <mergeCell ref="C29:E29"/>
    <mergeCell ref="C30:E30"/>
    <mergeCell ref="C32:E32"/>
    <mergeCell ref="C34:E34"/>
    <mergeCell ref="C33:E33"/>
    <mergeCell ref="A33:B33"/>
    <mergeCell ref="B1:E1"/>
    <mergeCell ref="C26:D26"/>
    <mergeCell ref="C27:D27"/>
    <mergeCell ref="A26:B26"/>
    <mergeCell ref="A30:B30"/>
    <mergeCell ref="A59:B59"/>
    <mergeCell ref="A53:B53"/>
    <mergeCell ref="A54:B54"/>
    <mergeCell ref="A55:B55"/>
    <mergeCell ref="A56:B56"/>
    <mergeCell ref="A57:B57"/>
    <mergeCell ref="A58:B58"/>
    <mergeCell ref="C59:D59"/>
    <mergeCell ref="C57:D57"/>
    <mergeCell ref="C56:D56"/>
    <mergeCell ref="C58:D58"/>
    <mergeCell ref="C47:E47"/>
    <mergeCell ref="C48:E48"/>
    <mergeCell ref="C53:D53"/>
  </mergeCells>
  <phoneticPr fontId="9" type="noConversion"/>
  <printOptions horizontalCentered="1" verticalCentered="1"/>
  <pageMargins left="0" right="0" top="0.25" bottom="0.25" header="0.5" footer="0.5"/>
  <pageSetup scale="65" orientation="portrait" r:id="rId1"/>
  <headerFooter alignWithMargins="0"/>
  <ignoredErrors>
    <ignoredError sqref="E4" evalError="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Brisket Chili </vt:lpstr>
      <vt:lpstr>Brisket Chili Recipe</vt:lpstr>
      <vt:lpstr>'Brisket Chili '!Print_Area</vt:lpstr>
      <vt:lpstr>'Brisket Chili Recipe'!Print_Area</vt:lpstr>
    </vt:vector>
  </TitlesOfParts>
  <Manager/>
  <Company>Levy Restaurants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jalink</dc:creator>
  <cp:keywords/>
  <dc:description/>
  <cp:lastModifiedBy>Ryan Coffee</cp:lastModifiedBy>
  <cp:revision/>
  <dcterms:created xsi:type="dcterms:W3CDTF">2011-01-13T22:28:49Z</dcterms:created>
  <dcterms:modified xsi:type="dcterms:W3CDTF">2026-02-08T04:39:42Z</dcterms:modified>
  <cp:category/>
  <cp:contentStatus/>
</cp:coreProperties>
</file>